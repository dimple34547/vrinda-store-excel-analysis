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gaura\Downloads\"/>
    </mc:Choice>
  </mc:AlternateContent>
  <xr:revisionPtr revIDLastSave="0" documentId="8_{9F7A504B-E14E-4CEE-BD4E-73507690C33E}" xr6:coauthVersionLast="47" xr6:coauthVersionMax="47" xr10:uidLastSave="{00000000-0000-0000-0000-000000000000}"/>
  <bookViews>
    <workbookView xWindow="-120" yWindow="-120" windowWidth="20730" windowHeight="11040" tabRatio="885" xr2:uid="{6B9CE3FE-B87A-46FD-BD21-9AB45BC6EA12}"/>
  </bookViews>
  <sheets>
    <sheet name="DATA" sheetId="1" r:id="rId1"/>
    <sheet name="Sales Vs Orders" sheetId="4" r:id="rId2"/>
    <sheet name="Men Vs Women " sheetId="6" r:id="rId3"/>
    <sheet name="Order Status" sheetId="9" r:id="rId4"/>
    <sheet name="Top 5 states sales" sheetId="12" r:id="rId5"/>
    <sheet name="Age Vs Gender" sheetId="14" r:id="rId6"/>
    <sheet name="Channels" sheetId="16" r:id="rId7"/>
    <sheet name="Vrinda Store Report 2026" sheetId="5" r:id="rId8"/>
  </sheets>
  <definedNames>
    <definedName name="_xlnm._FilterDatabase" localSheetId="0" hidden="1">DATA!$A$1:$R$51</definedName>
    <definedName name="Slicer_Category">#N/A</definedName>
    <definedName name="Slicer_Channels">#N/A</definedName>
    <definedName name="Slicer_Month">#N/A</definedName>
    <definedName name="Slicer_Ship_state">#N/A</definedName>
  </definedNames>
  <calcPr calcId="191029"/>
  <pivotCaches>
    <pivotCache cacheId="2" r:id="rId9"/>
    <pivotCache cacheId="3"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0" i="1" l="1" a="1"/>
  <c r="Q40" i="1"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F28" i="1"/>
  <c r="F29" i="1"/>
  <c r="F30" i="1"/>
  <c r="F31" i="1"/>
  <c r="F32" i="1"/>
  <c r="F33" i="1"/>
  <c r="F34" i="1"/>
  <c r="F35" i="1"/>
  <c r="F36" i="1"/>
  <c r="F37" i="1"/>
  <c r="F38" i="1"/>
  <c r="F39" i="1"/>
  <c r="F40" i="1"/>
  <c r="F41" i="1"/>
  <c r="F42" i="1"/>
  <c r="F43" i="1"/>
  <c r="F44" i="1"/>
  <c r="F45" i="1"/>
  <c r="F46" i="1"/>
  <c r="F47" i="1"/>
  <c r="F48" i="1"/>
  <c r="F49" i="1"/>
  <c r="F50" i="1"/>
  <c r="F51" i="1"/>
  <c r="Q36" i="1" a="1"/>
  <c r="Q36" i="1"/>
  <c r="Q37" i="1" a="1"/>
  <c r="Q37" i="1"/>
  <c r="Q38" i="1" a="1"/>
  <c r="Q38" i="1"/>
  <c r="Q41" i="1" a="1"/>
  <c r="Q41" i="1"/>
  <c r="Q42" i="1" a="1"/>
  <c r="Q42" i="1"/>
  <c r="Q43" i="1" a="1"/>
  <c r="Q43" i="1"/>
  <c r="Q44" i="1" a="1"/>
  <c r="Q44" i="1"/>
  <c r="Q47" i="1" a="1"/>
  <c r="Q47" i="1"/>
  <c r="Q48" i="1" a="1"/>
  <c r="Q48" i="1"/>
  <c r="Q49" i="1" a="1"/>
  <c r="Q49" i="1"/>
  <c r="Q50" i="1" a="1"/>
  <c r="Q50" i="1"/>
  <c r="Q51" i="1" a="1"/>
  <c r="Q51" i="1"/>
  <c r="Q33" i="1" a="1"/>
  <c r="Q3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<sst xmlns="http://schemas.openxmlformats.org/spreadsheetml/2006/main" count="510" uniqueCount="82">
  <si>
    <t xml:space="preserve">Index </t>
  </si>
  <si>
    <t>Order ID</t>
  </si>
  <si>
    <t>cust. ID</t>
  </si>
  <si>
    <t>Gender</t>
  </si>
  <si>
    <t>Age</t>
  </si>
  <si>
    <t>Date</t>
  </si>
  <si>
    <t>Status</t>
  </si>
  <si>
    <t>Category</t>
  </si>
  <si>
    <t>Size</t>
  </si>
  <si>
    <t>Qty.</t>
  </si>
  <si>
    <t>Currency</t>
  </si>
  <si>
    <t>Ship-City</t>
  </si>
  <si>
    <t>Men</t>
  </si>
  <si>
    <t>Women</t>
  </si>
  <si>
    <t>Delivered</t>
  </si>
  <si>
    <t>Myntra</t>
  </si>
  <si>
    <t>Ajio</t>
  </si>
  <si>
    <t>Amazon</t>
  </si>
  <si>
    <t>Meesho</t>
  </si>
  <si>
    <t>Trends</t>
  </si>
  <si>
    <t>INR</t>
  </si>
  <si>
    <t>GZB</t>
  </si>
  <si>
    <t>GURGAO</t>
  </si>
  <si>
    <t>DELHI</t>
  </si>
  <si>
    <t>Kurta</t>
  </si>
  <si>
    <t>Top</t>
  </si>
  <si>
    <t>Set</t>
  </si>
  <si>
    <t>Western Dress</t>
  </si>
  <si>
    <t>XL</t>
  </si>
  <si>
    <t>XXL</t>
  </si>
  <si>
    <t>Medium</t>
  </si>
  <si>
    <t>Womenestern Dress</t>
  </si>
  <si>
    <t>Bottom</t>
  </si>
  <si>
    <t>Ethnic dress</t>
  </si>
  <si>
    <t>Frock</t>
  </si>
  <si>
    <t>Blouse</t>
  </si>
  <si>
    <t>Saree</t>
  </si>
  <si>
    <t>S</t>
  </si>
  <si>
    <t>Free size</t>
  </si>
  <si>
    <t>L</t>
  </si>
  <si>
    <t>Mohali</t>
  </si>
  <si>
    <t>Ship-state</t>
  </si>
  <si>
    <t>UP</t>
  </si>
  <si>
    <t>PUNJAB</t>
  </si>
  <si>
    <t>Ship-Country</t>
  </si>
  <si>
    <t>IN</t>
  </si>
  <si>
    <t>Age Group</t>
  </si>
  <si>
    <t>Adult</t>
  </si>
  <si>
    <t>Teenager</t>
  </si>
  <si>
    <t>Senior</t>
  </si>
  <si>
    <t>Month</t>
  </si>
  <si>
    <t>Amount</t>
  </si>
  <si>
    <t>Sum of Amount</t>
  </si>
  <si>
    <t>Row Labels</t>
  </si>
  <si>
    <t>Apr</t>
  </si>
  <si>
    <t>Grand Total</t>
  </si>
  <si>
    <t>Count of Order ID</t>
  </si>
  <si>
    <t>Vrinda Store Report 2026</t>
  </si>
  <si>
    <t>Vrinda Store Report 2027</t>
  </si>
  <si>
    <t xml:space="preserve">Orders and sales </t>
  </si>
  <si>
    <t>Sales:Men Vs Women</t>
  </si>
  <si>
    <t>Sales Vs Orders</t>
  </si>
  <si>
    <t>Cancelled</t>
  </si>
  <si>
    <t>Returned</t>
  </si>
  <si>
    <t>Refund</t>
  </si>
  <si>
    <r>
      <t xml:space="preserve">                                                                   </t>
    </r>
    <r>
      <rPr>
        <sz val="24"/>
        <color theme="1"/>
        <rFont val="Calibri"/>
        <family val="2"/>
        <scheme val="minor"/>
      </rPr>
      <t xml:space="preserve">   Order Status</t>
    </r>
  </si>
  <si>
    <r>
      <t xml:space="preserve">                                        </t>
    </r>
    <r>
      <rPr>
        <sz val="22"/>
        <color theme="1"/>
        <rFont val="Calibri"/>
        <family val="2"/>
        <scheme val="minor"/>
      </rPr>
      <t xml:space="preserve"> Order Status</t>
    </r>
  </si>
  <si>
    <t>Thiruvanantpuram</t>
  </si>
  <si>
    <t>KERALA</t>
  </si>
  <si>
    <t>MAHARASTRA</t>
  </si>
  <si>
    <t>Sangli Miraj</t>
  </si>
  <si>
    <t>Amritsar</t>
  </si>
  <si>
    <t>Vijayawada</t>
  </si>
  <si>
    <t>Guwahati</t>
  </si>
  <si>
    <t>ANDHRA PRADESH</t>
  </si>
  <si>
    <t>ASSAM</t>
  </si>
  <si>
    <t>Bengaluru</t>
  </si>
  <si>
    <t>KARNATAKA</t>
  </si>
  <si>
    <t>Delhi</t>
  </si>
  <si>
    <t>a</t>
  </si>
  <si>
    <t>Column Labels</t>
  </si>
  <si>
    <t>Channels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</si>
</sst>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8"/>
      <name val="Calibri"/>
      <family val="2"/>
      <scheme val="minor"/>
    </font>
    <font>
      <sz val="11"/>
      <color theme="1"/>
      <name val="Calibri"/>
      <family val="2"/>
      <scheme val="minor"/>
    </font>
    <font>
      <sz val="12"/>
      <color rgb="FFFF0000"/>
      <name val="Calibri"/>
      <family val="2"/>
      <scheme val="minor"/>
    </font>
    <font>
      <sz val="14"/>
      <color theme="1"/>
      <name val="Calibri"/>
      <family val="2"/>
      <scheme val="minor"/>
    </font>
    <font>
      <sz val="18"/>
      <color theme="1"/>
      <name val="Calibri"/>
      <family val="2"/>
      <scheme val="minor"/>
    </font>
    <font>
      <sz val="36"/>
      <color theme="1"/>
      <name val="Calibri"/>
      <family val="2"/>
      <scheme val="minor"/>
    </font>
    <font>
      <sz val="22"/>
      <color theme="1"/>
      <name val="Calibri"/>
      <family val="2"/>
      <scheme val="minor"/>
    </font>
    <font>
      <sz val="24"/>
      <color theme="1"/>
      <name val="Calibri"/>
      <family val="2"/>
      <scheme val="minor"/>
    </font>
    <font>
      <sz val="16"/>
      <color theme="1"/>
      <name val="Calibri"/>
      <family val="2"/>
      <scheme val="minor"/>
    </font>
    <font>
      <sz val="11"/>
      <color rgb="FF3F3F76"/>
      <name val="Calibri"/>
      <family val="2"/>
      <scheme val="minor"/>
    </font>
    <font>
      <sz val="14"/>
      <color rgb="FF3F3F76"/>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5" tint="0.39997558519241921"/>
        <bgColor indexed="65"/>
      </patternFill>
    </fill>
    <fill>
      <patternFill patternType="solid">
        <fgColor theme="0" tint="-0.34998626667073579"/>
        <bgColor indexed="64"/>
      </patternFill>
    </fill>
    <fill>
      <patternFill patternType="solid">
        <fgColor theme="5"/>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5" tint="0.59999389629810485"/>
        <bgColor indexed="65"/>
      </patternFill>
    </fill>
    <fill>
      <patternFill patternType="solid">
        <fgColor theme="2" tint="-0.249977111117893"/>
        <bgColor indexed="64"/>
      </patternFill>
    </fill>
    <fill>
      <patternFill patternType="solid">
        <fgColor rgb="FFFFCC99"/>
      </patternFill>
    </fill>
    <fill>
      <patternFill patternType="solid">
        <fgColor theme="0" tint="-0.34998626667073579"/>
        <bgColor indexed="65"/>
      </patternFill>
    </fill>
  </fills>
  <borders count="17">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2" fillId="3" borderId="0" applyNumberFormat="0" applyBorder="0" applyAlignment="0" applyProtection="0"/>
    <xf numFmtId="0" fontId="10" fillId="10" borderId="16" applyNumberFormat="0" applyAlignment="0" applyProtection="0"/>
  </cellStyleXfs>
  <cellXfs count="50">
    <xf numFmtId="0" fontId="0" fillId="0" borderId="0" xfId="0"/>
    <xf numFmtId="14" fontId="0" fillId="0" borderId="0" xfId="0" applyNumberForma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center"/>
    </xf>
    <xf numFmtId="0" fontId="0" fillId="4" borderId="0" xfId="0" applyFill="1"/>
    <xf numFmtId="0" fontId="0" fillId="5" borderId="0" xfId="0" applyFill="1"/>
    <xf numFmtId="0" fontId="5" fillId="5" borderId="0" xfId="0" applyFont="1" applyFill="1"/>
    <xf numFmtId="0" fontId="0" fillId="6" borderId="0" xfId="0" applyFill="1"/>
    <xf numFmtId="0" fontId="4" fillId="6" borderId="0" xfId="0" applyFont="1" applyFill="1"/>
    <xf numFmtId="0" fontId="4" fillId="6" borderId="0" xfId="0" applyFont="1" applyFill="1" applyAlignment="1">
      <alignment horizontal="left"/>
    </xf>
    <xf numFmtId="0" fontId="4" fillId="0" borderId="0" xfId="0" applyFont="1" applyAlignment="1">
      <alignment horizontal="left"/>
    </xf>
    <xf numFmtId="0" fontId="0" fillId="7" borderId="0" xfId="0" applyFill="1"/>
    <xf numFmtId="0" fontId="9" fillId="3" borderId="0" xfId="0" applyFont="1" applyFill="1"/>
    <xf numFmtId="0" fontId="9" fillId="3" borderId="0" xfId="0" applyFont="1" applyFill="1" applyAlignment="1">
      <alignment horizontal="left"/>
    </xf>
    <xf numFmtId="0" fontId="0" fillId="9" borderId="0" xfId="0" applyFill="1"/>
    <xf numFmtId="0" fontId="2" fillId="9" borderId="0" xfId="1" applyFill="1"/>
    <xf numFmtId="0" fontId="11" fillId="10" borderId="16" xfId="0" applyFont="1" applyFill="1" applyBorder="1"/>
    <xf numFmtId="0" fontId="11" fillId="10" borderId="16" xfId="0" applyFont="1" applyFill="1" applyBorder="1" applyAlignment="1">
      <alignment horizontal="left"/>
    </xf>
    <xf numFmtId="10" fontId="11" fillId="10" borderId="16" xfId="0" applyNumberFormat="1" applyFont="1" applyFill="1" applyBorder="1"/>
    <xf numFmtId="0" fontId="10" fillId="10" borderId="16" xfId="2"/>
    <xf numFmtId="0" fontId="3" fillId="6" borderId="0" xfId="0" applyFont="1" applyFill="1" applyAlignment="1">
      <alignment horizontal="center"/>
    </xf>
    <xf numFmtId="0" fontId="4" fillId="5" borderId="0" xfId="0" applyFont="1" applyFill="1" applyAlignment="1">
      <alignment horizontal="center"/>
    </xf>
    <xf numFmtId="0" fontId="0" fillId="5" borderId="0" xfId="0" applyFill="1" applyAlignment="1">
      <alignment horizontal="center"/>
    </xf>
    <xf numFmtId="0" fontId="6" fillId="5" borderId="10" xfId="0" applyFont="1" applyFill="1" applyBorder="1" applyAlignment="1">
      <alignment horizontal="center"/>
    </xf>
    <xf numFmtId="0" fontId="6" fillId="5" borderId="11" xfId="0" applyFont="1" applyFill="1" applyBorder="1" applyAlignment="1">
      <alignment horizontal="center"/>
    </xf>
    <xf numFmtId="0" fontId="6" fillId="5" borderId="12" xfId="0" applyFont="1" applyFill="1" applyBorder="1" applyAlignment="1">
      <alignment horizontal="center"/>
    </xf>
    <xf numFmtId="0" fontId="6" fillId="5" borderId="13" xfId="0" applyFont="1" applyFill="1" applyBorder="1" applyAlignment="1">
      <alignment horizontal="center"/>
    </xf>
    <xf numFmtId="0" fontId="6" fillId="5" borderId="14" xfId="0" applyFont="1" applyFill="1" applyBorder="1" applyAlignment="1">
      <alignment horizontal="center"/>
    </xf>
    <xf numFmtId="0" fontId="6" fillId="5" borderId="15" xfId="0" applyFont="1" applyFill="1" applyBorder="1" applyAlignment="1">
      <alignment horizontal="center"/>
    </xf>
    <xf numFmtId="0" fontId="4" fillId="4" borderId="0" xfId="0" applyFont="1" applyFill="1"/>
    <xf numFmtId="0" fontId="4" fillId="4" borderId="0" xfId="0" applyFont="1" applyFill="1" applyAlignment="1">
      <alignment horizontal="left"/>
    </xf>
    <xf numFmtId="164" fontId="4" fillId="4" borderId="0" xfId="0" applyNumberFormat="1" applyFont="1" applyFill="1"/>
    <xf numFmtId="0" fontId="4" fillId="11" borderId="0" xfId="0" applyFont="1" applyFill="1"/>
    <xf numFmtId="0" fontId="4" fillId="11" borderId="0" xfId="0" applyFont="1" applyFill="1" applyAlignment="1">
      <alignment horizontal="left"/>
    </xf>
    <xf numFmtId="10" fontId="4" fillId="11" borderId="0" xfId="0" applyNumberFormat="1" applyFont="1" applyFill="1"/>
    <xf numFmtId="0" fontId="0" fillId="8" borderId="0" xfId="0" applyFont="1" applyFill="1"/>
    <xf numFmtId="0" fontId="0" fillId="8" borderId="0" xfId="0" applyFont="1" applyFill="1" applyAlignment="1">
      <alignment horizontal="left"/>
    </xf>
    <xf numFmtId="0" fontId="0" fillId="8" borderId="0" xfId="0" applyNumberFormat="1" applyFont="1" applyFill="1"/>
    <xf numFmtId="0" fontId="9" fillId="3" borderId="0" xfId="0" applyNumberFormat="1" applyFont="1" applyFill="1"/>
    <xf numFmtId="0" fontId="4" fillId="6" borderId="0" xfId="0" applyNumberFormat="1" applyFont="1" applyFill="1"/>
    <xf numFmtId="0" fontId="4" fillId="0" borderId="0" xfId="0" applyNumberFormat="1" applyFont="1"/>
  </cellXfs>
  <cellStyles count="3">
    <cellStyle name="60% - Accent2" xfId="1" builtinId="36"/>
    <cellStyle name="Input" xfId="2" builtinId="20"/>
    <cellStyle name="Normal" xfId="0" builtinId="0"/>
  </cellStyles>
  <dxfs count="176">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sz val="14"/>
      </font>
    </dxf>
    <dxf>
      <font>
        <sz val="14"/>
      </font>
    </dxf>
    <dxf>
      <font>
        <sz val="14"/>
      </font>
    </dxf>
    <dxf>
      <font>
        <sz val="14"/>
      </font>
    </dxf>
    <dxf>
      <font>
        <sz val="14"/>
      </font>
    </dxf>
    <dxf>
      <font>
        <sz val="14"/>
      </font>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sz val="16"/>
      </font>
    </dxf>
    <dxf>
      <font>
        <sz val="16"/>
      </font>
    </dxf>
    <dxf>
      <font>
        <sz val="16"/>
      </font>
    </dxf>
    <dxf>
      <font>
        <sz val="16"/>
      </font>
    </dxf>
    <dxf>
      <font>
        <sz val="16"/>
      </font>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numFmt numFmtId="14" formatCode="0.00%"/>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sz val="14"/>
      </font>
    </dxf>
    <dxf>
      <font>
        <sz val="14"/>
      </font>
    </dxf>
    <dxf>
      <font>
        <sz val="14"/>
      </font>
    </dxf>
    <dxf>
      <font>
        <sz val="14"/>
      </font>
    </dxf>
    <dxf>
      <font>
        <sz val="14"/>
      </font>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sz val="14"/>
      </fon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numFmt numFmtId="164" formatCode="0.0%"/>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ont>
        <sz val="14"/>
      </font>
    </dxf>
    <dxf>
      <font>
        <sz val="14"/>
      </font>
    </dxf>
    <dxf>
      <font>
        <sz val="14"/>
      </font>
    </dxf>
    <dxf>
      <font>
        <sz val="14"/>
      </font>
    </dxf>
    <dxf>
      <font>
        <sz val="14"/>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sz val="14"/>
      </font>
    </dxf>
    <dxf>
      <font>
        <sz val="14"/>
      </font>
    </dxf>
    <dxf>
      <font>
        <sz val="14"/>
      </font>
    </dxf>
    <dxf>
      <font>
        <sz val="14"/>
      </font>
    </dxf>
    <dxf>
      <font>
        <sz val="14"/>
      </font>
    </dxf>
    <dxf>
      <font>
        <sz val="14"/>
      </font>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sz val="16"/>
      </font>
    </dxf>
    <dxf>
      <font>
        <sz val="16"/>
      </font>
    </dxf>
    <dxf>
      <font>
        <sz val="16"/>
      </font>
    </dxf>
    <dxf>
      <font>
        <sz val="16"/>
      </font>
    </dxf>
    <dxf>
      <font>
        <sz val="16"/>
      </font>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numFmt numFmtId="14" formatCode="0.00%"/>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sz val="14"/>
      </font>
    </dxf>
    <dxf>
      <font>
        <sz val="14"/>
      </font>
    </dxf>
    <dxf>
      <font>
        <sz val="14"/>
      </font>
    </dxf>
    <dxf>
      <font>
        <sz val="14"/>
      </font>
    </dxf>
    <dxf>
      <font>
        <sz val="14"/>
      </font>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sz val="14"/>
      </fon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numFmt numFmtId="164" formatCode="0.0%"/>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numFmt numFmtId="164" formatCode="0.0%"/>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sz val="14"/>
      </font>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sz val="14"/>
      </font>
    </dxf>
    <dxf>
      <font>
        <sz val="14"/>
      </font>
    </dxf>
    <dxf>
      <font>
        <sz val="14"/>
      </font>
    </dxf>
    <dxf>
      <font>
        <sz val="14"/>
      </font>
    </dxf>
    <dxf>
      <font>
        <sz val="14"/>
      </font>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numFmt numFmtId="14" formatCode="0.00%"/>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font>
        <sz val="16"/>
      </font>
    </dxf>
    <dxf>
      <font>
        <sz val="16"/>
      </font>
    </dxf>
    <dxf>
      <font>
        <sz val="16"/>
      </font>
    </dxf>
    <dxf>
      <font>
        <sz val="16"/>
      </font>
    </dxf>
    <dxf>
      <font>
        <sz val="16"/>
      </font>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39997558519241921"/>
        </patternFill>
      </fill>
    </dxf>
    <dxf>
      <font>
        <sz val="14"/>
      </font>
    </dxf>
    <dxf>
      <font>
        <sz val="14"/>
      </font>
    </dxf>
    <dxf>
      <font>
        <sz val="14"/>
      </font>
    </dxf>
    <dxf>
      <font>
        <sz val="14"/>
      </font>
    </dxf>
    <dxf>
      <font>
        <sz val="14"/>
      </font>
    </dxf>
    <dxf>
      <font>
        <sz val="14"/>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[Vrinda_Store_Sales_Analysis.xlsx]Sales Vs Orders!PivotTable4</c:name>
    <c:fmtId val="1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11008278842446E-2"/>
          <c:y val="0.15380136798359617"/>
          <c:w val="0.84622712783230503"/>
          <c:h val="0.73260498687664055"/>
        </c:manualLayout>
      </c:layout>
      <c:barChart>
        <c:barDir val="col"/>
        <c:grouping val="clustered"/>
        <c:varyColors val="0"/>
        <c:ser>
          <c:idx val="0"/>
          <c:order val="0"/>
          <c:tx>
            <c:strRef>
              <c:f>'Sales Vs Orders'!$B$3</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Vs Orders'!$A$4:$A$5</c:f>
              <c:strCache>
                <c:ptCount val="1"/>
                <c:pt idx="0">
                  <c:v>Apr</c:v>
                </c:pt>
              </c:strCache>
            </c:strRef>
          </c:cat>
          <c:val>
            <c:numRef>
              <c:f>'Sales Vs Orders'!$B$4:$B$5</c:f>
              <c:numCache>
                <c:formatCode>General</c:formatCode>
                <c:ptCount val="1"/>
                <c:pt idx="0">
                  <c:v>265</c:v>
                </c:pt>
              </c:numCache>
            </c:numRef>
          </c:val>
          <c:extLst>
            <c:ext xmlns:c16="http://schemas.microsoft.com/office/drawing/2014/chart" uri="{C3380CC4-5D6E-409C-BE32-E72D297353CC}">
              <c16:uniqueId val="{00000000-9C5E-49D8-86B7-1296ACDF7B1E}"/>
            </c:ext>
          </c:extLst>
        </c:ser>
        <c:dLbls>
          <c:showLegendKey val="0"/>
          <c:showVal val="0"/>
          <c:showCatName val="0"/>
          <c:showSerName val="0"/>
          <c:showPercent val="0"/>
          <c:showBubbleSize val="0"/>
        </c:dLbls>
        <c:gapWidth val="219"/>
        <c:overlap val="-27"/>
        <c:axId val="660399696"/>
        <c:axId val="660400176"/>
      </c:barChart>
      <c:lineChart>
        <c:grouping val="standard"/>
        <c:varyColors val="0"/>
        <c:ser>
          <c:idx val="1"/>
          <c:order val="1"/>
          <c:tx>
            <c:strRef>
              <c:f>'Sales Vs Orders'!$C$3</c:f>
              <c:strCache>
                <c:ptCount val="1"/>
                <c:pt idx="0">
                  <c:v>Count of Order 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'Sales Vs Orders'!$A$4:$A$5</c:f>
              <c:strCache>
                <c:ptCount val="1"/>
                <c:pt idx="0">
                  <c:v>Apr</c:v>
                </c:pt>
              </c:strCache>
            </c:strRef>
          </c:cat>
          <c:val>
            <c:numRef>
              <c:f>'Sales Vs Orders'!$C$4:$C$5</c:f>
              <c:numCache>
                <c:formatCode>General</c:formatCode>
                <c:ptCount val="1"/>
                <c:pt idx="0">
                  <c:v>1</c:v>
                </c:pt>
              </c:numCache>
            </c:numRef>
          </c:val>
          <c:smooth val="0"/>
          <c:extLst>
            <c:ext xmlns:c16="http://schemas.microsoft.com/office/drawing/2014/chart" uri="{C3380CC4-5D6E-409C-BE32-E72D297353CC}">
              <c16:uniqueId val="{00000001-9C5E-49D8-86B7-1296ACDF7B1E}"/>
            </c:ext>
          </c:extLst>
        </c:ser>
        <c:dLbls>
          <c:showLegendKey val="0"/>
          <c:showVal val="0"/>
          <c:showCatName val="0"/>
          <c:showSerName val="0"/>
          <c:showPercent val="0"/>
          <c:showBubbleSize val="0"/>
        </c:dLbls>
        <c:marker val="1"/>
        <c:smooth val="0"/>
        <c:axId val="660377616"/>
        <c:axId val="660376656"/>
      </c:lineChart>
      <c:catAx>
        <c:axId val="660399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400176"/>
        <c:crosses val="autoZero"/>
        <c:auto val="1"/>
        <c:lblAlgn val="ctr"/>
        <c:lblOffset val="100"/>
        <c:noMultiLvlLbl val="0"/>
      </c:catAx>
      <c:valAx>
        <c:axId val="6604001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399696"/>
        <c:crosses val="autoZero"/>
        <c:crossBetween val="between"/>
      </c:valAx>
      <c:valAx>
        <c:axId val="6603766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377616"/>
        <c:crosses val="max"/>
        <c:crossBetween val="between"/>
      </c:valAx>
      <c:catAx>
        <c:axId val="660377616"/>
        <c:scaling>
          <c:orientation val="minMax"/>
        </c:scaling>
        <c:delete val="1"/>
        <c:axPos val="b"/>
        <c:numFmt formatCode="General" sourceLinked="1"/>
        <c:majorTickMark val="none"/>
        <c:minorTickMark val="none"/>
        <c:tickLblPos val="nextTo"/>
        <c:crossAx val="660376656"/>
        <c:crosses val="autoZero"/>
        <c:auto val="1"/>
        <c:lblAlgn val="ctr"/>
        <c:lblOffset val="100"/>
        <c:noMultiLvlLbl val="0"/>
      </c:catAx>
      <c:spPr>
        <a:noFill/>
        <a:ln>
          <a:noFill/>
        </a:ln>
        <a:effectLst/>
      </c:spPr>
    </c:plotArea>
    <c:legend>
      <c:legendPos val="r"/>
      <c:layout>
        <c:manualLayout>
          <c:xMode val="edge"/>
          <c:yMode val="edge"/>
          <c:x val="0.26095022771487941"/>
          <c:y val="2.2500466035646059E-2"/>
          <c:w val="0.71682745093791"/>
          <c:h val="0.147845943487324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[Vrinda_Store_Sales_Analysis.xlsx]Men Vs Women !PivotTable1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Men Vs Women</a:t>
            </a:r>
          </a:p>
        </c:rich>
      </c:tx>
      <c:layout>
        <c:manualLayout>
          <c:xMode val="edge"/>
          <c:yMode val="edge"/>
          <c:x val="0.30571522309711285"/>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58324195459"/>
              <c:y val="5.902617420165285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55558959667368"/>
              <c:y val="-9.143340787756268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Vs Women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CC6-47DA-A9E5-01D7ACAF1F2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CC6-47DA-A9E5-01D7ACAF1F2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 '!$A$4</c:f>
              <c:strCache>
                <c:ptCount val="1"/>
                <c:pt idx="0">
                  <c:v>Women</c:v>
                </c:pt>
              </c:strCache>
            </c:strRef>
          </c:cat>
          <c:val>
            <c:numRef>
              <c:f>'Men Vs Women '!$B$4</c:f>
              <c:numCache>
                <c:formatCode>General</c:formatCode>
                <c:ptCount val="1"/>
                <c:pt idx="0">
                  <c:v>265</c:v>
                </c:pt>
              </c:numCache>
            </c:numRef>
          </c:val>
          <c:extLst>
            <c:ext xmlns:c16="http://schemas.microsoft.com/office/drawing/2014/chart" uri="{C3380CC4-5D6E-409C-BE32-E72D297353CC}">
              <c16:uniqueId val="{00000000-FCC6-47DA-A9E5-01D7ACAF1F2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[Vrinda_Store_Sales_Analysis.xlsx]Order Status!PivotTable5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5805328255536688E-2"/>
              <c:y val="-0.1026224846894138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Status'!$B$3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74DE-431C-9154-7DCCE5C728A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4DE-431C-9154-7DCCE5C728A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74DE-431C-9154-7DCCE5C728A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4DE-431C-9154-7DCCE5C728A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c:f>
              <c:strCache>
                <c:ptCount val="1"/>
                <c:pt idx="0">
                  <c:v>Refund</c:v>
                </c:pt>
              </c:strCache>
            </c:strRef>
          </c:cat>
          <c:val>
            <c:numRef>
              <c:f>'Order Status'!$B$4</c:f>
              <c:numCache>
                <c:formatCode>General</c:formatCode>
                <c:ptCount val="1"/>
                <c:pt idx="0">
                  <c:v>1</c:v>
                </c:pt>
              </c:numCache>
            </c:numRef>
          </c:val>
          <c:extLst>
            <c:ext xmlns:c16="http://schemas.microsoft.com/office/drawing/2014/chart" uri="{C3380CC4-5D6E-409C-BE32-E72D297353CC}">
              <c16:uniqueId val="{00000000-74DE-431C-9154-7DCCE5C728A5}"/>
            </c:ext>
          </c:extLst>
        </c:ser>
        <c:dLbls>
          <c:dLblPos val="ctr"/>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[Vrinda_Store_Sales_Analysis.xlsx]Top 5 states sales!PivotTable3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a:solidFill>
                  <a:schemeClr val="accent1"/>
                </a:solidFill>
              </a:rPr>
              <a:t>Sales:Top 5 States</a:t>
            </a:r>
          </a:p>
        </c:rich>
      </c:tx>
      <c:layout>
        <c:manualLayout>
          <c:xMode val="edge"/>
          <c:yMode val="edge"/>
          <c:x val="0.33118447694038239"/>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70650982546647"/>
          <c:y val="0.19128040913466832"/>
          <c:w val="0.546604799400075"/>
          <c:h val="0.6293157626130067"/>
        </c:manualLayout>
      </c:layout>
      <c:barChart>
        <c:barDir val="bar"/>
        <c:grouping val="clustered"/>
        <c:varyColors val="0"/>
        <c:ser>
          <c:idx val="0"/>
          <c:order val="0"/>
          <c:tx>
            <c:strRef>
              <c:f>'Top 5 states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states sales'!$A$4</c:f>
              <c:strCache>
                <c:ptCount val="1"/>
                <c:pt idx="0">
                  <c:v>UP</c:v>
                </c:pt>
              </c:strCache>
            </c:strRef>
          </c:cat>
          <c:val>
            <c:numRef>
              <c:f>'Top 5 states sales'!$B$4</c:f>
              <c:numCache>
                <c:formatCode>0.00%</c:formatCode>
                <c:ptCount val="1"/>
                <c:pt idx="0">
                  <c:v>1</c:v>
                </c:pt>
              </c:numCache>
            </c:numRef>
          </c:val>
          <c:extLst>
            <c:ext xmlns:c16="http://schemas.microsoft.com/office/drawing/2014/chart" uri="{C3380CC4-5D6E-409C-BE32-E72D297353CC}">
              <c16:uniqueId val="{00000000-6CBC-471C-91FA-253F950393B4}"/>
            </c:ext>
          </c:extLst>
        </c:ser>
        <c:dLbls>
          <c:dLblPos val="outEnd"/>
          <c:showLegendKey val="0"/>
          <c:showVal val="1"/>
          <c:showCatName val="0"/>
          <c:showSerName val="0"/>
          <c:showPercent val="0"/>
          <c:showBubbleSize val="0"/>
        </c:dLbls>
        <c:gapWidth val="115"/>
        <c:overlap val="-20"/>
        <c:axId val="624587664"/>
        <c:axId val="624577104"/>
      </c:barChart>
      <c:catAx>
        <c:axId val="62458766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577104"/>
        <c:crosses val="autoZero"/>
        <c:auto val="1"/>
        <c:lblAlgn val="ctr"/>
        <c:lblOffset val="100"/>
        <c:noMultiLvlLbl val="0"/>
      </c:catAx>
      <c:valAx>
        <c:axId val="624577104"/>
        <c:scaling>
          <c:orientation val="minMax"/>
          <c:max val="1"/>
        </c:scaling>
        <c:delete val="0"/>
        <c:axPos val="b"/>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58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[Vrinda_Store_Sales_Analysis.xlsx]Age Vs Gender!PivotTable4</c:name>
    <c:fmtId val="0"/>
  </c:pivotSource>
  <c:chart>
    <c:title>
      <c:tx>
        <c:rich>
          <a:bodyPr rot="0" spcFirstLastPara="1" vertOverflow="ellipsis" vert="horz" wrap="square" anchor="ctr" anchorCtr="1"/>
          <a:lstStyle/>
          <a:p>
            <a:pPr>
              <a:defRPr sz="1600" b="1" i="0" u="none" strike="noStrike" kern="1200" spc="100" baseline="0">
                <a:solidFill>
                  <a:schemeClr val="accent1"/>
                </a:solidFill>
                <a:effectLst>
                  <a:outerShdw blurRad="50800" dist="38100" dir="5400000" algn="t" rotWithShape="0">
                    <a:prstClr val="black">
                      <a:alpha val="40000"/>
                    </a:prstClr>
                  </a:outerShdw>
                </a:effectLst>
                <a:latin typeface="+mn-lt"/>
                <a:ea typeface="+mn-ea"/>
                <a:cs typeface="+mn-cs"/>
              </a:defRPr>
            </a:pPr>
            <a:r>
              <a:rPr lang="en-IN">
                <a:solidFill>
                  <a:schemeClr val="accent1"/>
                </a:solidFill>
              </a:rPr>
              <a:t>Orders:Age Vs Gender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Vs Gender'!$B$3:$B$4</c:f>
              <c:strCache>
                <c:ptCount val="1"/>
                <c:pt idx="0">
                  <c:v>Women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Vs Gender'!$A$5</c:f>
              <c:strCache>
                <c:ptCount val="1"/>
                <c:pt idx="0">
                  <c:v>Teenager</c:v>
                </c:pt>
              </c:strCache>
            </c:strRef>
          </c:cat>
          <c:val>
            <c:numRef>
              <c:f>'Age Vs Gender'!$B$5</c:f>
              <c:numCache>
                <c:formatCode>0.00%</c:formatCode>
                <c:ptCount val="1"/>
                <c:pt idx="0">
                  <c:v>1</c:v>
                </c:pt>
              </c:numCache>
            </c:numRef>
          </c:val>
          <c:extLst>
            <c:ext xmlns:c16="http://schemas.microsoft.com/office/drawing/2014/chart" uri="{C3380CC4-5D6E-409C-BE32-E72D297353CC}">
              <c16:uniqueId val="{00000000-4BED-4A69-BCA8-F2F2945EFF89}"/>
            </c:ext>
          </c:extLst>
        </c:ser>
        <c:dLbls>
          <c:dLblPos val="outEnd"/>
          <c:showLegendKey val="0"/>
          <c:showVal val="1"/>
          <c:showCatName val="0"/>
          <c:showSerName val="0"/>
          <c:showPercent val="0"/>
          <c:showBubbleSize val="0"/>
        </c:dLbls>
        <c:gapWidth val="100"/>
        <c:overlap val="-24"/>
        <c:axId val="624623664"/>
        <c:axId val="624631824"/>
      </c:barChart>
      <c:catAx>
        <c:axId val="624623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631824"/>
        <c:crosses val="autoZero"/>
        <c:auto val="1"/>
        <c:lblAlgn val="ctr"/>
        <c:lblOffset val="100"/>
        <c:noMultiLvlLbl val="0"/>
      </c:catAx>
      <c:valAx>
        <c:axId val="6246318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62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[Vrinda_Store_Sales_Analysis.xlsx]Channels!PivotTable6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chemeClr val="accent1"/>
                </a:solidFill>
              </a:rPr>
              <a:t>Orders:Channels</a:t>
            </a:r>
          </a:p>
        </c:rich>
      </c:tx>
      <c:layout>
        <c:manualLayout>
          <c:xMode val="edge"/>
          <c:yMode val="edge"/>
          <c:x val="0.34377395868994631"/>
          <c:y val="2.67570720326625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Channels!$B$3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64-4443-A1D0-D36581B261B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64-4443-A1D0-D36581B261B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64-4443-A1D0-D36581B261B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064-4443-A1D0-D36581B261B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064-4443-A1D0-D36581B261BB}"/>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c:f>
              <c:strCache>
                <c:ptCount val="1"/>
                <c:pt idx="0">
                  <c:v>Myntra</c:v>
                </c:pt>
              </c:strCache>
            </c:strRef>
          </c:cat>
          <c:val>
            <c:numRef>
              <c:f>Channels!$B$4</c:f>
              <c:numCache>
                <c:formatCode>0.0%</c:formatCode>
                <c:ptCount val="1"/>
                <c:pt idx="0">
                  <c:v>1</c:v>
                </c:pt>
              </c:numCache>
            </c:numRef>
          </c:val>
          <c:extLst>
            <c:ext xmlns:c16="http://schemas.microsoft.com/office/drawing/2014/chart" uri="{C3380CC4-5D6E-409C-BE32-E72D297353CC}">
              <c16:uniqueId val="{00000000-72C3-4088-8BA7-74AD8102B0AE}"/>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[Vrinda_Store_Sales_Analysis.xlsx]Sales Vs Orders!PivotTable4</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856635921485383E-2"/>
          <c:y val="0.14165133729999421"/>
          <c:w val="0.84622712783230503"/>
          <c:h val="0.73260498687664055"/>
        </c:manualLayout>
      </c:layout>
      <c:barChart>
        <c:barDir val="col"/>
        <c:grouping val="clustered"/>
        <c:varyColors val="0"/>
        <c:ser>
          <c:idx val="0"/>
          <c:order val="0"/>
          <c:tx>
            <c:strRef>
              <c:f>'Sales Vs Orders'!$B$3</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Vs Orders'!$A$4:$A$5</c:f>
              <c:strCache>
                <c:ptCount val="1"/>
                <c:pt idx="0">
                  <c:v>Apr</c:v>
                </c:pt>
              </c:strCache>
            </c:strRef>
          </c:cat>
          <c:val>
            <c:numRef>
              <c:f>'Sales Vs Orders'!$B$4:$B$5</c:f>
              <c:numCache>
                <c:formatCode>General</c:formatCode>
                <c:ptCount val="1"/>
                <c:pt idx="0">
                  <c:v>265</c:v>
                </c:pt>
              </c:numCache>
            </c:numRef>
          </c:val>
          <c:extLst>
            <c:ext xmlns:c16="http://schemas.microsoft.com/office/drawing/2014/chart" uri="{C3380CC4-5D6E-409C-BE32-E72D297353CC}">
              <c16:uniqueId val="{00000000-059F-4F12-9D1B-1D70AB07D9EC}"/>
            </c:ext>
          </c:extLst>
        </c:ser>
        <c:dLbls>
          <c:showLegendKey val="0"/>
          <c:showVal val="0"/>
          <c:showCatName val="0"/>
          <c:showSerName val="0"/>
          <c:showPercent val="0"/>
          <c:showBubbleSize val="0"/>
        </c:dLbls>
        <c:gapWidth val="219"/>
        <c:overlap val="-27"/>
        <c:axId val="660399696"/>
        <c:axId val="660400176"/>
      </c:barChart>
      <c:lineChart>
        <c:grouping val="standard"/>
        <c:varyColors val="0"/>
        <c:ser>
          <c:idx val="1"/>
          <c:order val="1"/>
          <c:tx>
            <c:strRef>
              <c:f>'Sales Vs Orders'!$C$3</c:f>
              <c:strCache>
                <c:ptCount val="1"/>
                <c:pt idx="0">
                  <c:v>Count of Order 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'Sales Vs Orders'!$A$4:$A$5</c:f>
              <c:strCache>
                <c:ptCount val="1"/>
                <c:pt idx="0">
                  <c:v>Apr</c:v>
                </c:pt>
              </c:strCache>
            </c:strRef>
          </c:cat>
          <c:val>
            <c:numRef>
              <c:f>'Sales Vs Orders'!$C$4:$C$5</c:f>
              <c:numCache>
                <c:formatCode>General</c:formatCode>
                <c:ptCount val="1"/>
                <c:pt idx="0">
                  <c:v>1</c:v>
                </c:pt>
              </c:numCache>
            </c:numRef>
          </c:val>
          <c:smooth val="0"/>
          <c:extLst>
            <c:ext xmlns:c16="http://schemas.microsoft.com/office/drawing/2014/chart" uri="{C3380CC4-5D6E-409C-BE32-E72D297353CC}">
              <c16:uniqueId val="{00000001-059F-4F12-9D1B-1D70AB07D9EC}"/>
            </c:ext>
          </c:extLst>
        </c:ser>
        <c:dLbls>
          <c:showLegendKey val="0"/>
          <c:showVal val="0"/>
          <c:showCatName val="0"/>
          <c:showSerName val="0"/>
          <c:showPercent val="0"/>
          <c:showBubbleSize val="0"/>
        </c:dLbls>
        <c:marker val="1"/>
        <c:smooth val="0"/>
        <c:axId val="660377616"/>
        <c:axId val="660376656"/>
      </c:lineChart>
      <c:catAx>
        <c:axId val="660399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400176"/>
        <c:crosses val="autoZero"/>
        <c:auto val="1"/>
        <c:lblAlgn val="ctr"/>
        <c:lblOffset val="100"/>
        <c:noMultiLvlLbl val="0"/>
      </c:catAx>
      <c:valAx>
        <c:axId val="660400176"/>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399696"/>
        <c:crosses val="autoZero"/>
        <c:crossBetween val="between"/>
      </c:valAx>
      <c:valAx>
        <c:axId val="6603766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377616"/>
        <c:crosses val="max"/>
        <c:crossBetween val="between"/>
      </c:valAx>
      <c:catAx>
        <c:axId val="660377616"/>
        <c:scaling>
          <c:orientation val="minMax"/>
        </c:scaling>
        <c:delete val="1"/>
        <c:axPos val="b"/>
        <c:numFmt formatCode="General" sourceLinked="1"/>
        <c:majorTickMark val="none"/>
        <c:minorTickMark val="none"/>
        <c:tickLblPos val="nextTo"/>
        <c:crossAx val="660376656"/>
        <c:crosses val="autoZero"/>
        <c:auto val="1"/>
        <c:lblAlgn val="ctr"/>
        <c:lblOffset val="100"/>
        <c:noMultiLvlLbl val="0"/>
      </c:catAx>
      <c:spPr>
        <a:noFill/>
        <a:ln>
          <a:noFill/>
        </a:ln>
        <a:effectLst/>
      </c:spPr>
    </c:plotArea>
    <c:legend>
      <c:legendPos val="r"/>
      <c:layout>
        <c:manualLayout>
          <c:xMode val="edge"/>
          <c:yMode val="edge"/>
          <c:x val="0.36373827739617648"/>
          <c:y val="2.2214903745396857E-3"/>
          <c:w val="0.61971332590120076"/>
          <c:h val="0.147845943487324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[Vrinda_Store_Sales_Analysis.xlsx]Men Vs Women !PivotTable1</c:name>
    <c:fmtId val="8"/>
  </c:pivotSource>
  <c:chart>
    <c:title>
      <c:tx>
        <c:rich>
          <a:bodyPr rot="0" spcFirstLastPara="1" vertOverflow="ellipsis" vert="horz" wrap="square" anchor="ctr" anchorCtr="1"/>
          <a:lstStyle/>
          <a:p>
            <a:pPr>
              <a:defRPr sz="1600" b="1" i="0" u="none" strike="noStrike" kern="1200" spc="100" baseline="0">
                <a:solidFill>
                  <a:schemeClr val="accent1"/>
                </a:solidFill>
                <a:effectLst>
                  <a:outerShdw blurRad="50800" dist="38100" dir="5400000" algn="t" rotWithShape="0">
                    <a:prstClr val="black">
                      <a:alpha val="40000"/>
                    </a:prstClr>
                  </a:outerShdw>
                </a:effectLst>
                <a:latin typeface="+mn-lt"/>
                <a:ea typeface="+mn-ea"/>
                <a:cs typeface="+mn-cs"/>
              </a:defRPr>
            </a:pPr>
            <a:r>
              <a:rPr lang="en-US">
                <a:solidFill>
                  <a:schemeClr val="accent1"/>
                </a:solidFill>
              </a:rPr>
              <a:t>Sales: Men Vs Women</a:t>
            </a:r>
          </a:p>
        </c:rich>
      </c:tx>
      <c:layout>
        <c:manualLayout>
          <c:xMode val="edge"/>
          <c:yMode val="edge"/>
          <c:x val="0.31255636766839934"/>
          <c:y val="1.12979809545425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0.1250000000000000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55555555555556"/>
              <c:y val="9.259259259259258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0.1250000000000000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55555555555556"/>
              <c:y val="9.259259259259258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516735807591728"/>
              <c:y val="3.722242229953288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92970500634291"/>
              <c:y val="-0.1912963413054778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5384079925597534"/>
          <c:y val="0.18581007367837266"/>
          <c:w val="0.37927362497123368"/>
          <c:h val="0.67354847120923189"/>
        </c:manualLayout>
      </c:layout>
      <c:pieChart>
        <c:varyColors val="1"/>
        <c:ser>
          <c:idx val="0"/>
          <c:order val="0"/>
          <c:tx>
            <c:strRef>
              <c:f>'Men Vs Women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DB2-45E1-924E-E4AA1CD1D3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DB2-45E1-924E-E4AA1CD1D32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 '!$A$4</c:f>
              <c:strCache>
                <c:ptCount val="1"/>
                <c:pt idx="0">
                  <c:v>Women</c:v>
                </c:pt>
              </c:strCache>
            </c:strRef>
          </c:cat>
          <c:val>
            <c:numRef>
              <c:f>'Men Vs Women '!$B$4</c:f>
              <c:numCache>
                <c:formatCode>General</c:formatCode>
                <c:ptCount val="1"/>
                <c:pt idx="0">
                  <c:v>265</c:v>
                </c:pt>
              </c:numCache>
            </c:numRef>
          </c:val>
          <c:extLst>
            <c:ext xmlns:c16="http://schemas.microsoft.com/office/drawing/2014/chart" uri="{C3380CC4-5D6E-409C-BE32-E72D297353CC}">
              <c16:uniqueId val="{00000004-FDB2-45E1-924E-E4AA1CD1D32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[Vrinda_Store_Sales_Analysis.xlsx]Order Status!PivotTable5</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5805328255536688E-2"/>
              <c:y val="-0.1026224846894138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5805328255536688E-2"/>
              <c:y val="-0.1026224846894138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5805328255536688E-2"/>
              <c:y val="-0.1026224846894138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566023239920446"/>
          <c:y val="0.18827325760101835"/>
          <c:w val="0.65987034891841423"/>
          <c:h val="0.68804302111020021"/>
        </c:manualLayout>
      </c:layout>
      <c:pie3DChart>
        <c:varyColors val="1"/>
        <c:ser>
          <c:idx val="0"/>
          <c:order val="0"/>
          <c:tx>
            <c:strRef>
              <c:f>'Order Status'!$B$3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487-48AB-B681-0A4806B16C4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487-48AB-B681-0A4806B16C4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487-48AB-B681-0A4806B16C4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487-48AB-B681-0A4806B16C4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c:f>
              <c:strCache>
                <c:ptCount val="1"/>
                <c:pt idx="0">
                  <c:v>Refund</c:v>
                </c:pt>
              </c:strCache>
            </c:strRef>
          </c:cat>
          <c:val>
            <c:numRef>
              <c:f>'Order Status'!$B$4</c:f>
              <c:numCache>
                <c:formatCode>General</c:formatCode>
                <c:ptCount val="1"/>
                <c:pt idx="0">
                  <c:v>1</c:v>
                </c:pt>
              </c:numCache>
            </c:numRef>
          </c:val>
          <c:extLst>
            <c:ext xmlns:c16="http://schemas.microsoft.com/office/drawing/2014/chart" uri="{C3380CC4-5D6E-409C-BE32-E72D297353CC}">
              <c16:uniqueId val="{00000008-5487-48AB-B681-0A4806B16C42}"/>
            </c:ext>
          </c:extLst>
        </c:ser>
        <c:dLbls>
          <c:dLblPos val="ctr"/>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[Vrinda_Store_Sales_Analysis.xlsx]Age Vs Gender!PivotTable4</c:name>
    <c:fmtId val="3"/>
  </c:pivotSource>
  <c:chart>
    <c:title>
      <c:tx>
        <c:rich>
          <a:bodyPr rot="0" spcFirstLastPara="1" vertOverflow="ellipsis" vert="horz" wrap="square" anchor="ctr" anchorCtr="1"/>
          <a:lstStyle/>
          <a:p>
            <a:pPr>
              <a:defRPr sz="1600" b="1" i="0" u="none" strike="noStrike" kern="1200" spc="100" baseline="0">
                <a:solidFill>
                  <a:schemeClr val="accent1"/>
                </a:solidFill>
                <a:effectLst>
                  <a:outerShdw blurRad="50800" dist="38100" dir="5400000" algn="t" rotWithShape="0">
                    <a:prstClr val="black">
                      <a:alpha val="40000"/>
                    </a:prstClr>
                  </a:outerShdw>
                </a:effectLst>
                <a:latin typeface="+mn-lt"/>
                <a:ea typeface="+mn-ea"/>
                <a:cs typeface="+mn-cs"/>
              </a:defRPr>
            </a:pPr>
            <a:r>
              <a:rPr lang="en-IN">
                <a:solidFill>
                  <a:schemeClr val="accent1"/>
                </a:solidFill>
              </a:rPr>
              <a:t>Orders:Age Vs Gender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4199827370573"/>
          <c:y val="0.17184759002664024"/>
          <c:w val="0.76436065458260671"/>
          <c:h val="0.75792271202262496"/>
        </c:manualLayout>
      </c:layout>
      <c:barChart>
        <c:barDir val="col"/>
        <c:grouping val="clustered"/>
        <c:varyColors val="0"/>
        <c:ser>
          <c:idx val="0"/>
          <c:order val="0"/>
          <c:tx>
            <c:strRef>
              <c:f>'Age Vs Gender'!$B$3:$B$4</c:f>
              <c:strCache>
                <c:ptCount val="1"/>
                <c:pt idx="0">
                  <c:v>Women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Vs Gender'!$A$5</c:f>
              <c:strCache>
                <c:ptCount val="1"/>
                <c:pt idx="0">
                  <c:v>Teenager</c:v>
                </c:pt>
              </c:strCache>
            </c:strRef>
          </c:cat>
          <c:val>
            <c:numRef>
              <c:f>'Age Vs Gender'!$B$5</c:f>
              <c:numCache>
                <c:formatCode>0.00%</c:formatCode>
                <c:ptCount val="1"/>
                <c:pt idx="0">
                  <c:v>1</c:v>
                </c:pt>
              </c:numCache>
            </c:numRef>
          </c:val>
          <c:extLst>
            <c:ext xmlns:c16="http://schemas.microsoft.com/office/drawing/2014/chart" uri="{C3380CC4-5D6E-409C-BE32-E72D297353CC}">
              <c16:uniqueId val="{00000000-9D02-43DA-B4FE-759B206C9E9E}"/>
            </c:ext>
          </c:extLst>
        </c:ser>
        <c:dLbls>
          <c:dLblPos val="outEnd"/>
          <c:showLegendKey val="0"/>
          <c:showVal val="1"/>
          <c:showCatName val="0"/>
          <c:showSerName val="0"/>
          <c:showPercent val="0"/>
          <c:showBubbleSize val="0"/>
        </c:dLbls>
        <c:gapWidth val="100"/>
        <c:overlap val="-24"/>
        <c:axId val="624623664"/>
        <c:axId val="624631824"/>
      </c:barChart>
      <c:catAx>
        <c:axId val="624623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631824"/>
        <c:crosses val="autoZero"/>
        <c:auto val="1"/>
        <c:lblAlgn val="ctr"/>
        <c:lblOffset val="100"/>
        <c:noMultiLvlLbl val="0"/>
      </c:catAx>
      <c:valAx>
        <c:axId val="6246318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62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[Vrinda_Store_Sales_Analysis.xlsx]Channels!PivotTable6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chemeClr val="accent1"/>
                </a:solidFill>
              </a:rPr>
              <a:t>Orders:Channels</a:t>
            </a:r>
          </a:p>
        </c:rich>
      </c:tx>
      <c:layout>
        <c:manualLayout>
          <c:xMode val="edge"/>
          <c:yMode val="edge"/>
          <c:x val="0.34377395868994631"/>
          <c:y val="2.67570720326625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Channels!$B$3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6C5-4FE2-A870-290BA1AA98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6C5-4FE2-A870-290BA1AA98A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6C5-4FE2-A870-290BA1AA98A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6C5-4FE2-A870-290BA1AA98A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6C5-4FE2-A870-290BA1AA98A3}"/>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c:f>
              <c:strCache>
                <c:ptCount val="1"/>
                <c:pt idx="0">
                  <c:v>Myntra</c:v>
                </c:pt>
              </c:strCache>
            </c:strRef>
          </c:cat>
          <c:val>
            <c:numRef>
              <c:f>Channels!$B$4</c:f>
              <c:numCache>
                <c:formatCode>0.0%</c:formatCode>
                <c:ptCount val="1"/>
                <c:pt idx="0">
                  <c:v>1</c:v>
                </c:pt>
              </c:numCache>
            </c:numRef>
          </c:val>
          <c:extLst>
            <c:ext xmlns:c16="http://schemas.microsoft.com/office/drawing/2014/chart" uri="{C3380CC4-5D6E-409C-BE32-E72D297353CC}">
              <c16:uniqueId val="{0000000A-A6C5-4FE2-A870-290BA1AA98A3}"/>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[Vrinda_Store_Sales_Analysis.xlsx]Top 5 states sales!PivotTable3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a:solidFill>
                  <a:schemeClr val="accent1"/>
                </a:solidFill>
              </a:rPr>
              <a:t>Sales:Top 5 States</a:t>
            </a:r>
          </a:p>
        </c:rich>
      </c:tx>
      <c:layout>
        <c:manualLayout>
          <c:xMode val="edge"/>
          <c:yMode val="edge"/>
          <c:x val="0.33118447694038239"/>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51382468024776"/>
          <c:y val="0.17935792477120371"/>
          <c:w val="0.546604799400075"/>
          <c:h val="0.6293157626130067"/>
        </c:manualLayout>
      </c:layout>
      <c:barChart>
        <c:barDir val="bar"/>
        <c:grouping val="clustered"/>
        <c:varyColors val="0"/>
        <c:ser>
          <c:idx val="0"/>
          <c:order val="0"/>
          <c:tx>
            <c:strRef>
              <c:f>'Top 5 states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states sales'!$A$4</c:f>
              <c:strCache>
                <c:ptCount val="1"/>
                <c:pt idx="0">
                  <c:v>UP</c:v>
                </c:pt>
              </c:strCache>
            </c:strRef>
          </c:cat>
          <c:val>
            <c:numRef>
              <c:f>'Top 5 states sales'!$B$4</c:f>
              <c:numCache>
                <c:formatCode>0.00%</c:formatCode>
                <c:ptCount val="1"/>
                <c:pt idx="0">
                  <c:v>1</c:v>
                </c:pt>
              </c:numCache>
            </c:numRef>
          </c:val>
          <c:extLst>
            <c:ext xmlns:c16="http://schemas.microsoft.com/office/drawing/2014/chart" uri="{C3380CC4-5D6E-409C-BE32-E72D297353CC}">
              <c16:uniqueId val="{00000000-765A-49B7-8200-1848C76AF179}"/>
            </c:ext>
          </c:extLst>
        </c:ser>
        <c:dLbls>
          <c:dLblPos val="outEnd"/>
          <c:showLegendKey val="0"/>
          <c:showVal val="1"/>
          <c:showCatName val="0"/>
          <c:showSerName val="0"/>
          <c:showPercent val="0"/>
          <c:showBubbleSize val="0"/>
        </c:dLbls>
        <c:gapWidth val="115"/>
        <c:overlap val="-20"/>
        <c:axId val="624587664"/>
        <c:axId val="624577104"/>
      </c:barChart>
      <c:catAx>
        <c:axId val="62458766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577104"/>
        <c:crosses val="autoZero"/>
        <c:auto val="1"/>
        <c:lblAlgn val="ctr"/>
        <c:lblOffset val="100"/>
        <c:noMultiLvlLbl val="0"/>
      </c:catAx>
      <c:valAx>
        <c:axId val="624577104"/>
        <c:scaling>
          <c:orientation val="minMax"/>
          <c:max val="1"/>
        </c:scaling>
        <c:delete val="0"/>
        <c:axPos val="b"/>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58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398438</xdr:colOff>
      <xdr:row>1</xdr:row>
      <xdr:rowOff>46228</xdr:rowOff>
    </xdr:from>
    <xdr:to>
      <xdr:col>16</xdr:col>
      <xdr:colOff>365101</xdr:colOff>
      <xdr:row>18</xdr:row>
      <xdr:rowOff>154812</xdr:rowOff>
    </xdr:to>
    <xdr:graphicFrame macro="">
      <xdr:nvGraphicFramePr>
        <xdr:cNvPr id="4" name="Chart 3">
          <a:extLst>
            <a:ext uri="{FF2B5EF4-FFF2-40B4-BE49-F238E27FC236}">
              <a16:creationId xmlns:a16="http://schemas.microsoft.com/office/drawing/2014/main" id="{2846532F-466C-917D-F55C-B65A31A72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436927</xdr:colOff>
      <xdr:row>2</xdr:row>
      <xdr:rowOff>61170</xdr:rowOff>
    </xdr:from>
    <xdr:to>
      <xdr:col>13</xdr:col>
      <xdr:colOff>113601</xdr:colOff>
      <xdr:row>16</xdr:row>
      <xdr:rowOff>34954</xdr:rowOff>
    </xdr:to>
    <xdr:graphicFrame macro="">
      <xdr:nvGraphicFramePr>
        <xdr:cNvPr id="2" name="Chart 1">
          <a:extLst>
            <a:ext uri="{FF2B5EF4-FFF2-40B4-BE49-F238E27FC236}">
              <a16:creationId xmlns:a16="http://schemas.microsoft.com/office/drawing/2014/main" id="{0BBC79CE-50D0-D67B-BBF7-FFC739C28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612086</xdr:colOff>
      <xdr:row>1</xdr:row>
      <xdr:rowOff>162132</xdr:rowOff>
    </xdr:from>
    <xdr:to>
      <xdr:col>12</xdr:col>
      <xdr:colOff>342073</xdr:colOff>
      <xdr:row>15</xdr:row>
      <xdr:rowOff>122375</xdr:rowOff>
    </xdr:to>
    <xdr:graphicFrame macro="">
      <xdr:nvGraphicFramePr>
        <xdr:cNvPr id="2" name="Chart 1">
          <a:extLst>
            <a:ext uri="{FF2B5EF4-FFF2-40B4-BE49-F238E27FC236}">
              <a16:creationId xmlns:a16="http://schemas.microsoft.com/office/drawing/2014/main" id="{6BF1D5BD-5E00-9059-367E-80FAA089B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1</xdr:row>
      <xdr:rowOff>52387</xdr:rowOff>
    </xdr:from>
    <xdr:to>
      <xdr:col>14</xdr:col>
      <xdr:colOff>133349</xdr:colOff>
      <xdr:row>18</xdr:row>
      <xdr:rowOff>9525</xdr:rowOff>
    </xdr:to>
    <xdr:graphicFrame macro="">
      <xdr:nvGraphicFramePr>
        <xdr:cNvPr id="2" name="Chart 1">
          <a:extLst>
            <a:ext uri="{FF2B5EF4-FFF2-40B4-BE49-F238E27FC236}">
              <a16:creationId xmlns:a16="http://schemas.microsoft.com/office/drawing/2014/main" id="{49C510C2-BA0D-A105-E77F-D609486AF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504825</xdr:colOff>
      <xdr:row>1</xdr:row>
      <xdr:rowOff>161926</xdr:rowOff>
    </xdr:from>
    <xdr:to>
      <xdr:col>12</xdr:col>
      <xdr:colOff>552450</xdr:colOff>
      <xdr:row>17</xdr:row>
      <xdr:rowOff>166688</xdr:rowOff>
    </xdr:to>
    <xdr:graphicFrame macro="">
      <xdr:nvGraphicFramePr>
        <xdr:cNvPr id="2" name="Chart 1">
          <a:extLst>
            <a:ext uri="{FF2B5EF4-FFF2-40B4-BE49-F238E27FC236}">
              <a16:creationId xmlns:a16="http://schemas.microsoft.com/office/drawing/2014/main" id="{84BFCF50-EC4E-EC41-C138-176F72C76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390524</xdr:colOff>
      <xdr:row>1</xdr:row>
      <xdr:rowOff>47625</xdr:rowOff>
    </xdr:from>
    <xdr:to>
      <xdr:col>13</xdr:col>
      <xdr:colOff>28575</xdr:colOff>
      <xdr:row>17</xdr:row>
      <xdr:rowOff>66674</xdr:rowOff>
    </xdr:to>
    <xdr:graphicFrame macro="">
      <xdr:nvGraphicFramePr>
        <xdr:cNvPr id="2" name="Chart 1">
          <a:extLst>
            <a:ext uri="{FF2B5EF4-FFF2-40B4-BE49-F238E27FC236}">
              <a16:creationId xmlns:a16="http://schemas.microsoft.com/office/drawing/2014/main" id="{108728AF-08D3-4C69-E7F9-CC1B97BAD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24</xdr:col>
      <xdr:colOff>149687</xdr:colOff>
      <xdr:row>17</xdr:row>
      <xdr:rowOff>101534</xdr:rowOff>
    </xdr:from>
    <xdr:to>
      <xdr:col>34</xdr:col>
      <xdr:colOff>236776</xdr:colOff>
      <xdr:row>33</xdr:row>
      <xdr:rowOff>185108</xdr:rowOff>
    </xdr:to>
    <xdr:graphicFrame macro="">
      <xdr:nvGraphicFramePr>
        <xdr:cNvPr id="2" name="Chart 1">
          <a:extLst>
            <a:ext uri="{FF2B5EF4-FFF2-40B4-BE49-F238E27FC236}">
              <a16:creationId xmlns:a16="http://schemas.microsoft.com/office/drawing/2014/main" id="{6CC94C24-9250-40BF-9975-4E586769F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28589</xdr:colOff>
      <xdr:row>1</xdr:row>
      <xdr:rowOff>193424</xdr:rowOff>
    </xdr:from>
    <xdr:to>
      <xdr:col>23</xdr:col>
      <xdr:colOff>376178</xdr:colOff>
      <xdr:row>16</xdr:row>
      <xdr:rowOff>53886</xdr:rowOff>
    </xdr:to>
    <xdr:graphicFrame macro="">
      <xdr:nvGraphicFramePr>
        <xdr:cNvPr id="3" name="Chart 2">
          <a:extLst>
            <a:ext uri="{FF2B5EF4-FFF2-40B4-BE49-F238E27FC236}">
              <a16:creationId xmlns:a16="http://schemas.microsoft.com/office/drawing/2014/main" id="{B27C52CC-87B5-48D2-8DFD-E231416E4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75585</xdr:colOff>
      <xdr:row>1</xdr:row>
      <xdr:rowOff>179733</xdr:rowOff>
    </xdr:from>
    <xdr:to>
      <xdr:col>34</xdr:col>
      <xdr:colOff>46701</xdr:colOff>
      <xdr:row>15</xdr:row>
      <xdr:rowOff>182865</xdr:rowOff>
    </xdr:to>
    <xdr:graphicFrame macro="">
      <xdr:nvGraphicFramePr>
        <xdr:cNvPr id="4" name="Chart 3">
          <a:extLst>
            <a:ext uri="{FF2B5EF4-FFF2-40B4-BE49-F238E27FC236}">
              <a16:creationId xmlns:a16="http://schemas.microsoft.com/office/drawing/2014/main" id="{E78B6C00-DCCA-4FF4-8B51-BF31EF94E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563860</xdr:colOff>
      <xdr:row>17</xdr:row>
      <xdr:rowOff>163957</xdr:rowOff>
    </xdr:from>
    <xdr:to>
      <xdr:col>23</xdr:col>
      <xdr:colOff>451342</xdr:colOff>
      <xdr:row>34</xdr:row>
      <xdr:rowOff>114167</xdr:rowOff>
    </xdr:to>
    <xdr:graphicFrame macro="">
      <xdr:nvGraphicFramePr>
        <xdr:cNvPr id="6" name="Chart 5">
          <a:extLst>
            <a:ext uri="{FF2B5EF4-FFF2-40B4-BE49-F238E27FC236}">
              <a16:creationId xmlns:a16="http://schemas.microsoft.com/office/drawing/2014/main" id="{118CF1AE-6C43-4AC8-8749-EE85CEB44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244798</xdr:colOff>
      <xdr:row>1</xdr:row>
      <xdr:rowOff>171993</xdr:rowOff>
    </xdr:from>
    <xdr:to>
      <xdr:col>13</xdr:col>
      <xdr:colOff>326909</xdr:colOff>
      <xdr:row>16</xdr:row>
      <xdr:rowOff>119062</xdr:rowOff>
    </xdr:to>
    <xdr:graphicFrame macro="">
      <xdr:nvGraphicFramePr>
        <xdr:cNvPr id="7" name="Chart 6">
          <a:extLst>
            <a:ext uri="{FF2B5EF4-FFF2-40B4-BE49-F238E27FC236}">
              <a16:creationId xmlns:a16="http://schemas.microsoft.com/office/drawing/2014/main" id="{55803259-268A-4927-BD4C-04FE148A4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xdr:row>
      <xdr:rowOff>45326</xdr:rowOff>
    </xdr:from>
    <xdr:to>
      <xdr:col>3</xdr:col>
      <xdr:colOff>5912</xdr:colOff>
      <xdr:row>10</xdr:row>
      <xdr:rowOff>82112</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4EE3BF83-4888-5C12-A833-C65B4536411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595361"/>
              <a:ext cx="1817004" cy="1539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94592</xdr:rowOff>
    </xdr:from>
    <xdr:to>
      <xdr:col>3</xdr:col>
      <xdr:colOff>5912</xdr:colOff>
      <xdr:row>20</xdr:row>
      <xdr:rowOff>49267</xdr:rowOff>
    </xdr:to>
    <mc:AlternateContent xmlns:mc="http://schemas.openxmlformats.org/markup-compatibility/2006" xmlns:a14="http://schemas.microsoft.com/office/drawing/2010/main">
      <mc:Choice Requires="a14">
        <xdr:graphicFrame macro="">
          <xdr:nvGraphicFramePr>
            <xdr:cNvPr id="9" name="Channels">
              <a:extLst>
                <a:ext uri="{FF2B5EF4-FFF2-40B4-BE49-F238E27FC236}">
                  <a16:creationId xmlns:a16="http://schemas.microsoft.com/office/drawing/2014/main" id="{F2D8BA79-9EB1-44F8-EE6A-DAD793F739C9}"/>
                </a:ext>
              </a:extLst>
            </xdr:cNvPr>
            <xdr:cNvGraphicFramePr/>
          </xdr:nvGraphicFramePr>
          <xdr:xfrm>
            <a:off x="0" y="0"/>
            <a:ext cx="0" cy="0"/>
          </xdr:xfrm>
          <a:graphic>
            <a:graphicData uri="http://schemas.microsoft.com/office/drawing/2010/slicer">
              <sle:slicer xmlns:sle="http://schemas.microsoft.com/office/drawing/2010/slicer" name="Channels"/>
            </a:graphicData>
          </a:graphic>
        </xdr:graphicFrame>
      </mc:Choice>
      <mc:Fallback xmlns="">
        <xdr:sp macro="" textlink="">
          <xdr:nvSpPr>
            <xdr:cNvPr id="0" name=""/>
            <xdr:cNvSpPr>
              <a:spLocks noTextEdit="1"/>
            </xdr:cNvSpPr>
          </xdr:nvSpPr>
          <xdr:spPr>
            <a:xfrm>
              <a:off x="0" y="2334979"/>
              <a:ext cx="1817004" cy="1645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78172</xdr:rowOff>
    </xdr:from>
    <xdr:to>
      <xdr:col>3</xdr:col>
      <xdr:colOff>5912</xdr:colOff>
      <xdr:row>28</xdr:row>
      <xdr:rowOff>147803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7B898EE3-B066-74F2-3F72-0DD905B872C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196728"/>
              <a:ext cx="1817004" cy="1384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160283</xdr:rowOff>
    </xdr:from>
    <xdr:to>
      <xdr:col>3</xdr:col>
      <xdr:colOff>5912</xdr:colOff>
      <xdr:row>37</xdr:row>
      <xdr:rowOff>180646</xdr:rowOff>
    </xdr:to>
    <mc:AlternateContent xmlns:mc="http://schemas.openxmlformats.org/markup-compatibility/2006" xmlns:a14="http://schemas.microsoft.com/office/drawing/2010/main">
      <mc:Choice Requires="a14">
        <xdr:graphicFrame macro="">
          <xdr:nvGraphicFramePr>
            <xdr:cNvPr id="11" name="Ship-state">
              <a:extLst>
                <a:ext uri="{FF2B5EF4-FFF2-40B4-BE49-F238E27FC236}">
                  <a16:creationId xmlns:a16="http://schemas.microsoft.com/office/drawing/2014/main" id="{43C9D9DC-C2E1-E244-84CE-11E21F23829B}"/>
                </a:ext>
              </a:extLst>
            </xdr:cNvPr>
            <xdr:cNvGraphicFramePr/>
          </xdr:nvGraphicFramePr>
          <xdr:xfrm>
            <a:off x="0" y="0"/>
            <a:ext cx="0" cy="0"/>
          </xdr:xfrm>
          <a:graphic>
            <a:graphicData uri="http://schemas.microsoft.com/office/drawing/2010/slicer">
              <sle:slicer xmlns:sle="http://schemas.microsoft.com/office/drawing/2010/slicer" name="Ship-state"/>
            </a:graphicData>
          </a:graphic>
        </xdr:graphicFrame>
      </mc:Choice>
      <mc:Fallback xmlns="">
        <xdr:sp macro="" textlink="">
          <xdr:nvSpPr>
            <xdr:cNvPr id="0" name=""/>
            <xdr:cNvSpPr>
              <a:spLocks noTextEdit="1"/>
            </xdr:cNvSpPr>
          </xdr:nvSpPr>
          <xdr:spPr>
            <a:xfrm>
              <a:off x="0" y="5781375"/>
              <a:ext cx="1817004" cy="1522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260058</xdr:colOff>
      <xdr:row>17</xdr:row>
      <xdr:rowOff>171543</xdr:rowOff>
    </xdr:from>
    <xdr:to>
      <xdr:col>13</xdr:col>
      <xdr:colOff>393406</xdr:colOff>
      <xdr:row>34</xdr:row>
      <xdr:rowOff>171293</xdr:rowOff>
    </xdr:to>
    <xdr:graphicFrame macro="">
      <xdr:nvGraphicFramePr>
        <xdr:cNvPr id="12" name="Chart 11">
          <a:extLst>
            <a:ext uri="{FF2B5EF4-FFF2-40B4-BE49-F238E27FC236}">
              <a16:creationId xmlns:a16="http://schemas.microsoft.com/office/drawing/2014/main" id="{83FAC708-CE93-4560-B79A-2C96872B1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arora" refreshedDate="46212.925810300927" createdVersion="8" refreshedVersion="8" minRefreshableVersion="3" recordCount="50" xr:uid="{3DB21A46-8E14-4A52-8D3C-738F0085AEE4}">
  <cacheSource type="worksheet">
    <worksheetSource name="Table1"/>
  </cacheSource>
  <cacheFields count="18">
    <cacheField name="Index " numFmtId="0">
      <sharedItems containsSemiMixedTypes="0" containsString="0" containsNumber="1" containsInteger="1" minValue="1" maxValue="50"/>
    </cacheField>
    <cacheField name="Order ID" numFmtId="0">
      <sharedItems containsSemiMixedTypes="0" containsString="0" containsNumber="1" containsInteger="1" minValue="122313" maxValue="122362"/>
    </cacheField>
    <cacheField name="cust. ID" numFmtId="0">
      <sharedItems containsSemiMixedTypes="0" containsString="0" containsNumber="1" containsInteger="1" minValue="1034" maxValue="1083"/>
    </cacheField>
    <cacheField name="Gender" numFmtId="0">
      <sharedItems count="2">
        <s v="Men"/>
        <s v="Women"/>
      </sharedItems>
    </cacheField>
    <cacheField name="Age" numFmtId="0">
      <sharedItems containsSemiMixedTypes="0" containsString="0" containsNumber="1" containsInteger="1" minValue="15" maxValue="65"/>
    </cacheField>
    <cacheField name="Age Group" numFmtId="0">
      <sharedItems count="3">
        <s v="Adult"/>
        <s v="Teenager"/>
        <s v="Senior"/>
      </sharedItems>
    </cacheField>
    <cacheField name="Date" numFmtId="14">
      <sharedItems containsSemiMixedTypes="0" containsNonDate="0" containsDate="1" containsString="0" minDate="2026-01-06T00:00:00" maxDate="2026-12-05T00:00:00"/>
    </cacheField>
    <cacheField name="Month" numFmtId="14">
      <sharedItems count="11">
        <s v="Dec"/>
        <s v="Jan"/>
        <s v="Feb"/>
        <s v="Mar"/>
        <s v="Apr"/>
        <s v="May"/>
        <s v="Jun"/>
        <s v="Jul"/>
        <s v="Aug"/>
        <s v="Sep"/>
        <s v="Oct"/>
      </sharedItems>
    </cacheField>
    <cacheField name="Status" numFmtId="0">
      <sharedItems count="4">
        <s v="Delivered"/>
        <s v="Refund"/>
        <s v="Cancelled"/>
        <s v="Returned"/>
      </sharedItems>
    </cacheField>
    <cacheField name="Channels" numFmtId="0">
      <sharedItems count="5">
        <s v="Myntra"/>
        <s v="Ajio"/>
        <s v="Amazon"/>
        <s v="Meesho"/>
        <s v="Trends"/>
      </sharedItems>
    </cacheField>
    <cacheField name="Category" numFmtId="0">
      <sharedItems count="10">
        <s v="Kurta"/>
        <s v="Top"/>
        <s v="Set"/>
        <s v="Western Dress"/>
        <s v="Womenestern Dress"/>
        <s v="Bottom"/>
        <s v="Ethnic dress"/>
        <s v="Frock"/>
        <s v="Blouse"/>
        <s v="Saree"/>
      </sharedItems>
    </cacheField>
    <cacheField name="Size" numFmtId="0">
      <sharedItems/>
    </cacheField>
    <cacheField name="Qty." numFmtId="0">
      <sharedItems containsMixedTypes="1" containsNumber="1" containsInteger="1" minValue="1" maxValue="7"/>
    </cacheField>
    <cacheField name="Currency" numFmtId="0">
      <sharedItems/>
    </cacheField>
    <cacheField name="Amount" numFmtId="0">
      <sharedItems containsSemiMixedTypes="0" containsString="0" containsNumber="1" containsInteger="1" minValue="126" maxValue="6000"/>
    </cacheField>
    <cacheField name="Ship-City" numFmtId="0">
      <sharedItems/>
    </cacheField>
    <cacheField name="Ship-state" numFmtId="0">
      <sharedItems count="8">
        <s v="UP"/>
        <s v="ANDHRA PRADESH"/>
        <s v="PUNJAB"/>
        <s v="DELHI"/>
        <s v="KERALA"/>
        <s v="ASSAM"/>
        <s v="KARNATAKA"/>
        <s v="MAHARASTRA"/>
      </sharedItems>
    </cacheField>
    <cacheField name="Ship-Country" numFmtId="0">
      <sharedItems/>
    </cacheField>
  </cacheFields>
  <extLst>
    <ext xmlns:x14="http://schemas.microsoft.com/office/spreadsheetml/2009/9/main" uri="{725AE2AE-9491-48be-B2B4-4EB974FC3084}">
      <x14:pivotCacheDefinition pivotCacheId="2439020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arora" refreshedDate="46212.930043055552" createdVersion="8" refreshedVersion="8" minRefreshableVersion="3" recordCount="50" xr:uid="{68CF4438-21D7-4EC2-B973-89CC1A39B820}">
  <cacheSource type="worksheet">
    <worksheetSource ref="A1:R51" sheet="DATA"/>
  </cacheSource>
  <cacheFields count="18">
    <cacheField name="Index " numFmtId="0">
      <sharedItems containsSemiMixedTypes="0" containsString="0" containsNumber="1" containsInteger="1" minValue="1" maxValue="50"/>
    </cacheField>
    <cacheField name="Order ID" numFmtId="0">
      <sharedItems containsSemiMixedTypes="0" containsString="0" containsNumber="1" containsInteger="1" minValue="122313" maxValue="122362"/>
    </cacheField>
    <cacheField name="cust. ID" numFmtId="0">
      <sharedItems containsSemiMixedTypes="0" containsString="0" containsNumber="1" containsInteger="1" minValue="1034" maxValue="1083"/>
    </cacheField>
    <cacheField name="Gender" numFmtId="0">
      <sharedItems count="2">
        <s v="Men"/>
        <s v="Women"/>
      </sharedItems>
    </cacheField>
    <cacheField name="Age" numFmtId="0">
      <sharedItems containsSemiMixedTypes="0" containsString="0" containsNumber="1" containsInteger="1" minValue="15" maxValue="65"/>
    </cacheField>
    <cacheField name="Age Group" numFmtId="0">
      <sharedItems/>
    </cacheField>
    <cacheField name="Date" numFmtId="14">
      <sharedItems containsSemiMixedTypes="0" containsNonDate="0" containsDate="1" containsString="0" minDate="2026-01-06T00:00:00" maxDate="2026-12-05T00:00:00"/>
    </cacheField>
    <cacheField name="Month" numFmtId="14">
      <sharedItems count="11">
        <s v="Dec"/>
        <s v="Jan"/>
        <s v="Feb"/>
        <s v="Mar"/>
        <s v="Apr"/>
        <s v="May"/>
        <s v="Jun"/>
        <s v="Jul"/>
        <s v="Aug"/>
        <s v="Sep"/>
        <s v="Oct"/>
      </sharedItems>
    </cacheField>
    <cacheField name="Status" numFmtId="0">
      <sharedItems/>
    </cacheField>
    <cacheField name="Channels" numFmtId="0">
      <sharedItems/>
    </cacheField>
    <cacheField name="Category" numFmtId="0">
      <sharedItems/>
    </cacheField>
    <cacheField name="Size" numFmtId="0">
      <sharedItems/>
    </cacheField>
    <cacheField name="Qty." numFmtId="0">
      <sharedItems containsMixedTypes="1" containsNumber="1" containsInteger="1" minValue="1" maxValue="7"/>
    </cacheField>
    <cacheField name="Currency" numFmtId="0">
      <sharedItems/>
    </cacheField>
    <cacheField name="Amount" numFmtId="0">
      <sharedItems containsSemiMixedTypes="0" containsString="0" containsNumber="1" containsInteger="1" minValue="126" maxValue="6000"/>
    </cacheField>
    <cacheField name="Ship-City" numFmtId="0">
      <sharedItems/>
    </cacheField>
    <cacheField name="Ship-state" numFmtId="0">
      <sharedItems/>
    </cacheField>
    <cacheField name="Ship-Count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n v="122313"/>
    <n v="1034"/>
    <x v="0"/>
    <n v="44"/>
    <x v="0"/>
    <d v="2026-12-04T00:00:00"/>
    <x v="0"/>
    <x v="0"/>
    <x v="0"/>
    <x v="0"/>
    <s v="XL"/>
    <n v="7"/>
    <s v="INR"/>
    <n v="5000"/>
    <s v="GZB"/>
    <x v="0"/>
    <s v="IN"/>
  </r>
  <r>
    <n v="2"/>
    <n v="122314"/>
    <n v="1035"/>
    <x v="1"/>
    <n v="29"/>
    <x v="1"/>
    <d v="2026-12-04T00:00:00"/>
    <x v="0"/>
    <x v="0"/>
    <x v="1"/>
    <x v="1"/>
    <s v="XXL"/>
    <n v="2"/>
    <s v="INR"/>
    <n v="1000"/>
    <s v="GURGAO"/>
    <x v="0"/>
    <s v="IN"/>
  </r>
  <r>
    <n v="3"/>
    <n v="122315"/>
    <n v="1036"/>
    <x v="1"/>
    <n v="34"/>
    <x v="0"/>
    <d v="2026-01-06T00:00:00"/>
    <x v="1"/>
    <x v="0"/>
    <x v="2"/>
    <x v="2"/>
    <s v="Medium"/>
    <n v="2"/>
    <s v="INR"/>
    <n v="1234"/>
    <s v="Vijayawada"/>
    <x v="1"/>
    <s v="IN"/>
  </r>
  <r>
    <n v="4"/>
    <n v="122316"/>
    <n v="1037"/>
    <x v="0"/>
    <n v="23"/>
    <x v="1"/>
    <d v="2026-02-04T00:00:00"/>
    <x v="2"/>
    <x v="0"/>
    <x v="3"/>
    <x v="0"/>
    <s v="L"/>
    <n v="1"/>
    <s v="INR"/>
    <n v="200"/>
    <s v="Mohali"/>
    <x v="2"/>
    <s v="IN"/>
  </r>
  <r>
    <n v="5"/>
    <n v="122317"/>
    <n v="1038"/>
    <x v="1"/>
    <n v="18"/>
    <x v="1"/>
    <d v="2026-03-04T00:00:00"/>
    <x v="3"/>
    <x v="0"/>
    <x v="4"/>
    <x v="3"/>
    <s v="S"/>
    <n v="6"/>
    <s v="INR"/>
    <n v="6000"/>
    <s v="Delhi"/>
    <x v="3"/>
    <s v="IN"/>
  </r>
  <r>
    <n v="6"/>
    <n v="122318"/>
    <n v="1039"/>
    <x v="1"/>
    <n v="25"/>
    <x v="1"/>
    <d v="2026-04-04T00:00:00"/>
    <x v="4"/>
    <x v="1"/>
    <x v="0"/>
    <x v="0"/>
    <s v="XL"/>
    <n v="1"/>
    <s v="INR"/>
    <n v="265"/>
    <s v="GZB"/>
    <x v="0"/>
    <s v="IN"/>
  </r>
  <r>
    <n v="7"/>
    <n v="122319"/>
    <n v="1040"/>
    <x v="1"/>
    <n v="65"/>
    <x v="2"/>
    <d v="2026-05-04T00:00:00"/>
    <x v="5"/>
    <x v="0"/>
    <x v="0"/>
    <x v="2"/>
    <s v="XXL"/>
    <n v="1"/>
    <s v="INR"/>
    <n v="354"/>
    <s v="GURGAO"/>
    <x v="0"/>
    <s v="IN"/>
  </r>
  <r>
    <n v="8"/>
    <n v="122320"/>
    <n v="1041"/>
    <x v="0"/>
    <n v="45"/>
    <x v="0"/>
    <d v="2026-06-04T00:00:00"/>
    <x v="6"/>
    <x v="0"/>
    <x v="1"/>
    <x v="2"/>
    <s v="S"/>
    <s v="a"/>
    <s v="INR"/>
    <n v="345"/>
    <s v="Delhi"/>
    <x v="3"/>
    <s v="IN"/>
  </r>
  <r>
    <n v="9"/>
    <n v="122321"/>
    <n v="1042"/>
    <x v="1"/>
    <n v="34"/>
    <x v="0"/>
    <d v="2026-07-04T00:00:00"/>
    <x v="7"/>
    <x v="1"/>
    <x v="2"/>
    <x v="2"/>
    <s v="L"/>
    <n v="1"/>
    <s v="INR"/>
    <n v="2000"/>
    <s v="Thiruvanantpuram"/>
    <x v="4"/>
    <s v="IN"/>
  </r>
  <r>
    <n v="10"/>
    <n v="122322"/>
    <n v="1043"/>
    <x v="1"/>
    <n v="22"/>
    <x v="1"/>
    <d v="2026-07-04T00:00:00"/>
    <x v="7"/>
    <x v="1"/>
    <x v="3"/>
    <x v="0"/>
    <s v="Medium"/>
    <n v="1"/>
    <s v="INR"/>
    <n v="345"/>
    <s v="Vijayawada"/>
    <x v="1"/>
    <s v="IN"/>
  </r>
  <r>
    <n v="11"/>
    <n v="122323"/>
    <n v="1044"/>
    <x v="1"/>
    <n v="26"/>
    <x v="1"/>
    <d v="2026-07-04T00:00:00"/>
    <x v="7"/>
    <x v="0"/>
    <x v="4"/>
    <x v="1"/>
    <s v="XL"/>
    <n v="1"/>
    <s v="INR"/>
    <n v="254"/>
    <s v="GZB"/>
    <x v="0"/>
    <s v="IN"/>
  </r>
  <r>
    <n v="12"/>
    <n v="122324"/>
    <n v="1045"/>
    <x v="0"/>
    <n v="36"/>
    <x v="0"/>
    <d v="2026-07-04T00:00:00"/>
    <x v="7"/>
    <x v="0"/>
    <x v="0"/>
    <x v="2"/>
    <s v="XXL"/>
    <n v="1"/>
    <s v="INR"/>
    <n v="234"/>
    <s v="GURGAO"/>
    <x v="0"/>
    <s v="IN"/>
  </r>
  <r>
    <n v="13"/>
    <n v="122325"/>
    <n v="1046"/>
    <x v="0"/>
    <n v="30"/>
    <x v="0"/>
    <d v="2026-07-04T00:00:00"/>
    <x v="7"/>
    <x v="0"/>
    <x v="0"/>
    <x v="0"/>
    <s v="S"/>
    <n v="1"/>
    <s v="INR"/>
    <n v="543"/>
    <s v="Delhi"/>
    <x v="3"/>
    <s v="IN"/>
  </r>
  <r>
    <n v="14"/>
    <n v="122326"/>
    <n v="1047"/>
    <x v="1"/>
    <n v="28"/>
    <x v="1"/>
    <d v="2026-08-04T00:00:00"/>
    <x v="8"/>
    <x v="0"/>
    <x v="1"/>
    <x v="4"/>
    <s v="Free size"/>
    <n v="1"/>
    <s v="INR"/>
    <n v="654"/>
    <s v="Amritsar"/>
    <x v="2"/>
    <s v="IN"/>
  </r>
  <r>
    <n v="15"/>
    <n v="122327"/>
    <n v="1048"/>
    <x v="1"/>
    <n v="24"/>
    <x v="1"/>
    <d v="2026-08-04T00:00:00"/>
    <x v="8"/>
    <x v="0"/>
    <x v="2"/>
    <x v="0"/>
    <s v="Medium"/>
    <n v="2"/>
    <s v="INR"/>
    <n v="643"/>
    <s v="Guwahati"/>
    <x v="5"/>
    <s v="IN"/>
  </r>
  <r>
    <n v="16"/>
    <n v="122328"/>
    <n v="1049"/>
    <x v="1"/>
    <n v="22"/>
    <x v="1"/>
    <d v="2026-08-04T00:00:00"/>
    <x v="8"/>
    <x v="0"/>
    <x v="3"/>
    <x v="2"/>
    <s v="XL"/>
    <n v="1"/>
    <s v="INR"/>
    <n v="1001"/>
    <s v="GZB"/>
    <x v="0"/>
    <s v="IN"/>
  </r>
  <r>
    <n v="17"/>
    <n v="122329"/>
    <n v="1050"/>
    <x v="0"/>
    <n v="23"/>
    <x v="1"/>
    <d v="2026-08-04T00:00:00"/>
    <x v="8"/>
    <x v="0"/>
    <x v="4"/>
    <x v="2"/>
    <s v="XXL"/>
    <n v="1"/>
    <s v="INR"/>
    <n v="300"/>
    <s v="GURGAO"/>
    <x v="0"/>
    <s v="IN"/>
  </r>
  <r>
    <n v="18"/>
    <n v="122330"/>
    <n v="1051"/>
    <x v="1"/>
    <n v="45"/>
    <x v="0"/>
    <d v="2026-08-04T00:00:00"/>
    <x v="8"/>
    <x v="0"/>
    <x v="0"/>
    <x v="2"/>
    <s v="Medium"/>
    <n v="1"/>
    <s v="INR"/>
    <n v="302"/>
    <s v="Delhi"/>
    <x v="3"/>
    <s v="IN"/>
  </r>
  <r>
    <n v="19"/>
    <n v="122331"/>
    <n v="1052"/>
    <x v="1"/>
    <n v="34"/>
    <x v="0"/>
    <d v="2026-08-04T00:00:00"/>
    <x v="8"/>
    <x v="0"/>
    <x v="0"/>
    <x v="0"/>
    <s v="Free size"/>
    <n v="1"/>
    <s v="INR"/>
    <n v="357"/>
    <s v="Thiruvanantpuram"/>
    <x v="4"/>
    <s v="IN"/>
  </r>
  <r>
    <n v="20"/>
    <n v="122332"/>
    <n v="1053"/>
    <x v="0"/>
    <n v="21"/>
    <x v="1"/>
    <d v="2026-08-04T00:00:00"/>
    <x v="8"/>
    <x v="0"/>
    <x v="1"/>
    <x v="1"/>
    <s v="S"/>
    <n v="1"/>
    <s v="INR"/>
    <n v="400"/>
    <s v="Guwahati"/>
    <x v="5"/>
    <s v="IN"/>
  </r>
  <r>
    <n v="21"/>
    <n v="122333"/>
    <n v="1054"/>
    <x v="0"/>
    <n v="23"/>
    <x v="1"/>
    <d v="2026-08-04T00:00:00"/>
    <x v="8"/>
    <x v="0"/>
    <x v="2"/>
    <x v="2"/>
    <s v="XL"/>
    <n v="1"/>
    <s v="INR"/>
    <n v="421"/>
    <s v="GZB"/>
    <x v="0"/>
    <s v="IN"/>
  </r>
  <r>
    <n v="22"/>
    <n v="122334"/>
    <n v="1055"/>
    <x v="1"/>
    <n v="23"/>
    <x v="1"/>
    <d v="2026-08-04T00:00:00"/>
    <x v="8"/>
    <x v="0"/>
    <x v="3"/>
    <x v="0"/>
    <s v="XXL"/>
    <n v="1"/>
    <s v="INR"/>
    <n v="352"/>
    <s v="GURGAO"/>
    <x v="0"/>
    <s v="IN"/>
  </r>
  <r>
    <n v="23"/>
    <n v="122335"/>
    <n v="1056"/>
    <x v="1"/>
    <n v="24"/>
    <x v="1"/>
    <d v="2026-08-04T00:00:00"/>
    <x v="8"/>
    <x v="0"/>
    <x v="4"/>
    <x v="4"/>
    <s v="Medium"/>
    <n v="1"/>
    <s v="INR"/>
    <n v="542"/>
    <s v="Delhi"/>
    <x v="3"/>
    <s v="IN"/>
  </r>
  <r>
    <n v="24"/>
    <n v="122336"/>
    <n v="1057"/>
    <x v="0"/>
    <n v="27"/>
    <x v="1"/>
    <d v="2026-08-04T00:00:00"/>
    <x v="8"/>
    <x v="0"/>
    <x v="0"/>
    <x v="0"/>
    <s v="L"/>
    <n v="1"/>
    <s v="INR"/>
    <n v="342"/>
    <s v="Mohali"/>
    <x v="2"/>
    <s v="IN"/>
  </r>
  <r>
    <n v="25"/>
    <n v="122337"/>
    <n v="1058"/>
    <x v="0"/>
    <n v="63"/>
    <x v="2"/>
    <d v="2026-09-04T00:00:00"/>
    <x v="9"/>
    <x v="0"/>
    <x v="0"/>
    <x v="2"/>
    <s v="S"/>
    <n v="1"/>
    <s v="INR"/>
    <n v="342"/>
    <s v="Delhi"/>
    <x v="3"/>
    <s v="IN"/>
  </r>
  <r>
    <n v="26"/>
    <n v="122338"/>
    <n v="1059"/>
    <x v="1"/>
    <n v="23"/>
    <x v="1"/>
    <d v="2026-09-04T00:00:00"/>
    <x v="9"/>
    <x v="0"/>
    <x v="1"/>
    <x v="2"/>
    <s v="XL"/>
    <n v="1"/>
    <s v="INR"/>
    <n v="126"/>
    <s v="GZB"/>
    <x v="0"/>
    <s v="IN"/>
  </r>
  <r>
    <n v="27"/>
    <n v="122339"/>
    <n v="1060"/>
    <x v="1"/>
    <n v="34"/>
    <x v="0"/>
    <d v="2026-09-04T00:00:00"/>
    <x v="9"/>
    <x v="0"/>
    <x v="2"/>
    <x v="2"/>
    <s v="XXL"/>
    <n v="1"/>
    <s v="INR"/>
    <n v="712"/>
    <s v="GURGAO"/>
    <x v="0"/>
    <s v="IN"/>
  </r>
  <r>
    <n v="28"/>
    <n v="122340"/>
    <n v="1061"/>
    <x v="0"/>
    <n v="26"/>
    <x v="1"/>
    <d v="2026-09-04T00:00:00"/>
    <x v="9"/>
    <x v="2"/>
    <x v="3"/>
    <x v="0"/>
    <s v="S"/>
    <n v="1"/>
    <s v="INR"/>
    <n v="713"/>
    <s v="Delhi"/>
    <x v="3"/>
    <s v="IN"/>
  </r>
  <r>
    <n v="29"/>
    <n v="122341"/>
    <n v="1062"/>
    <x v="0"/>
    <n v="27"/>
    <x v="1"/>
    <d v="2026-09-04T00:00:00"/>
    <x v="9"/>
    <x v="0"/>
    <x v="4"/>
    <x v="1"/>
    <s v="L"/>
    <n v="1"/>
    <s v="INR"/>
    <n v="714"/>
    <s v="Thiruvanantpuram"/>
    <x v="4"/>
    <s v="IN"/>
  </r>
  <r>
    <n v="30"/>
    <n v="122342"/>
    <n v="1063"/>
    <x v="1"/>
    <n v="28"/>
    <x v="1"/>
    <d v="2026-09-04T00:00:00"/>
    <x v="9"/>
    <x v="0"/>
    <x v="0"/>
    <x v="2"/>
    <s v="Medium"/>
    <n v="1"/>
    <s v="INR"/>
    <n v="715"/>
    <s v="Delhi"/>
    <x v="3"/>
    <s v="IN"/>
  </r>
  <r>
    <n v="31"/>
    <n v="122343"/>
    <n v="1064"/>
    <x v="1"/>
    <n v="29"/>
    <x v="1"/>
    <d v="2026-09-04T00:00:00"/>
    <x v="9"/>
    <x v="0"/>
    <x v="0"/>
    <x v="0"/>
    <s v="XL"/>
    <n v="1"/>
    <s v="INR"/>
    <n v="716"/>
    <s v="GZB"/>
    <x v="0"/>
    <s v="IN"/>
  </r>
  <r>
    <n v="32"/>
    <n v="122344"/>
    <n v="1065"/>
    <x v="0"/>
    <n v="15"/>
    <x v="1"/>
    <d v="2026-09-04T00:00:00"/>
    <x v="9"/>
    <x v="2"/>
    <x v="1"/>
    <x v="3"/>
    <s v="XXL"/>
    <n v="1"/>
    <s v="INR"/>
    <n v="717"/>
    <s v="GURGAO"/>
    <x v="0"/>
    <s v="IN"/>
  </r>
  <r>
    <n v="33"/>
    <n v="122345"/>
    <n v="1066"/>
    <x v="0"/>
    <n v="43"/>
    <x v="0"/>
    <d v="2026-09-04T00:00:00"/>
    <x v="9"/>
    <x v="2"/>
    <x v="2"/>
    <x v="0"/>
    <s v="S"/>
    <n v="1"/>
    <s v="INR"/>
    <n v="718"/>
    <s v="Bengaluru"/>
    <x v="6"/>
    <s v="IN"/>
  </r>
  <r>
    <n v="34"/>
    <n v="122346"/>
    <n v="1067"/>
    <x v="1"/>
    <n v="34"/>
    <x v="0"/>
    <d v="2026-09-04T00:00:00"/>
    <x v="9"/>
    <x v="2"/>
    <x v="3"/>
    <x v="5"/>
    <s v="Free size"/>
    <n v="1"/>
    <s v="INR"/>
    <n v="719"/>
    <s v="Thiruvanantpuram"/>
    <x v="4"/>
    <s v="IN"/>
  </r>
  <r>
    <n v="35"/>
    <n v="122347"/>
    <n v="1068"/>
    <x v="1"/>
    <n v="35"/>
    <x v="0"/>
    <d v="2026-09-04T00:00:00"/>
    <x v="9"/>
    <x v="0"/>
    <x v="4"/>
    <x v="2"/>
    <s v="Medium"/>
    <n v="1"/>
    <s v="INR"/>
    <n v="720"/>
    <s v="Delhi"/>
    <x v="3"/>
    <s v="IN"/>
  </r>
  <r>
    <n v="36"/>
    <n v="122348"/>
    <n v="1069"/>
    <x v="0"/>
    <n v="36"/>
    <x v="0"/>
    <d v="2026-09-04T00:00:00"/>
    <x v="9"/>
    <x v="3"/>
    <x v="0"/>
    <x v="6"/>
    <s v="XL"/>
    <n v="1"/>
    <s v="INR"/>
    <n v="721"/>
    <s v="GZB"/>
    <x v="0"/>
    <s v="IN"/>
  </r>
  <r>
    <n v="37"/>
    <n v="122349"/>
    <n v="1070"/>
    <x v="0"/>
    <n v="30"/>
    <x v="0"/>
    <d v="2026-09-04T00:00:00"/>
    <x v="9"/>
    <x v="0"/>
    <x v="0"/>
    <x v="0"/>
    <s v="XXL"/>
    <n v="1"/>
    <s v="INR"/>
    <n v="722"/>
    <s v="GURGAO"/>
    <x v="0"/>
    <s v="IN"/>
  </r>
  <r>
    <n v="38"/>
    <n v="122350"/>
    <n v="1071"/>
    <x v="1"/>
    <n v="39"/>
    <x v="0"/>
    <d v="2026-09-04T00:00:00"/>
    <x v="9"/>
    <x v="0"/>
    <x v="1"/>
    <x v="1"/>
    <s v="Medium"/>
    <n v="1"/>
    <s v="INR"/>
    <n v="723"/>
    <s v="Bengaluru"/>
    <x v="6"/>
    <s v="IN"/>
  </r>
  <r>
    <n v="39"/>
    <n v="122351"/>
    <n v="1072"/>
    <x v="1"/>
    <n v="37"/>
    <x v="0"/>
    <d v="2026-10-04T00:00:00"/>
    <x v="10"/>
    <x v="2"/>
    <x v="2"/>
    <x v="7"/>
    <s v="Free size"/>
    <n v="1"/>
    <s v="INR"/>
    <n v="724"/>
    <s v="Amritsar"/>
    <x v="2"/>
    <s v="IN"/>
  </r>
  <r>
    <n v="40"/>
    <n v="122352"/>
    <n v="1073"/>
    <x v="0"/>
    <n v="29"/>
    <x v="1"/>
    <d v="2026-10-04T00:00:00"/>
    <x v="10"/>
    <x v="0"/>
    <x v="3"/>
    <x v="0"/>
    <s v="S"/>
    <n v="1"/>
    <s v="INR"/>
    <n v="725"/>
    <s v="Delhi"/>
    <x v="3"/>
    <s v="IN"/>
  </r>
  <r>
    <n v="41"/>
    <n v="122353"/>
    <n v="1074"/>
    <x v="0"/>
    <n v="24"/>
    <x v="1"/>
    <d v="2026-10-04T00:00:00"/>
    <x v="10"/>
    <x v="0"/>
    <x v="4"/>
    <x v="3"/>
    <s v="XL"/>
    <n v="1"/>
    <s v="INR"/>
    <n v="726"/>
    <s v="GZB"/>
    <x v="0"/>
    <s v="IN"/>
  </r>
  <r>
    <n v="42"/>
    <n v="122354"/>
    <n v="1075"/>
    <x v="1"/>
    <n v="24"/>
    <x v="1"/>
    <d v="2026-10-04T00:00:00"/>
    <x v="10"/>
    <x v="0"/>
    <x v="0"/>
    <x v="8"/>
    <s v="XXL"/>
    <n v="1"/>
    <s v="INR"/>
    <n v="727"/>
    <s v="GURGAO"/>
    <x v="0"/>
    <s v="IN"/>
  </r>
  <r>
    <n v="43"/>
    <n v="122355"/>
    <n v="1076"/>
    <x v="1"/>
    <n v="25"/>
    <x v="1"/>
    <d v="2026-10-04T00:00:00"/>
    <x v="10"/>
    <x v="2"/>
    <x v="0"/>
    <x v="9"/>
    <s v="Medium"/>
    <n v="1"/>
    <s v="INR"/>
    <n v="728"/>
    <s v="Delhi"/>
    <x v="3"/>
    <s v="IN"/>
  </r>
  <r>
    <n v="44"/>
    <n v="122356"/>
    <n v="1077"/>
    <x v="0"/>
    <n v="27"/>
    <x v="1"/>
    <d v="2026-10-04T00:00:00"/>
    <x v="10"/>
    <x v="0"/>
    <x v="1"/>
    <x v="2"/>
    <s v="L"/>
    <n v="1"/>
    <s v="INR"/>
    <n v="729"/>
    <s v="Sangli Miraj"/>
    <x v="7"/>
    <s v="IN"/>
  </r>
  <r>
    <n v="45"/>
    <n v="122357"/>
    <n v="1078"/>
    <x v="1"/>
    <n v="29"/>
    <x v="1"/>
    <d v="2026-10-04T00:00:00"/>
    <x v="10"/>
    <x v="3"/>
    <x v="2"/>
    <x v="2"/>
    <s v="S"/>
    <n v="1"/>
    <s v="INR"/>
    <n v="730"/>
    <s v="Bengaluru"/>
    <x v="6"/>
    <s v="IN"/>
  </r>
  <r>
    <n v="46"/>
    <n v="122358"/>
    <n v="1079"/>
    <x v="1"/>
    <n v="28"/>
    <x v="1"/>
    <d v="2026-10-04T00:00:00"/>
    <x v="10"/>
    <x v="1"/>
    <x v="3"/>
    <x v="0"/>
    <s v="XL"/>
    <n v="1"/>
    <s v="INR"/>
    <n v="731"/>
    <s v="GZB"/>
    <x v="0"/>
    <s v="IN"/>
  </r>
  <r>
    <n v="47"/>
    <n v="122359"/>
    <n v="1080"/>
    <x v="1"/>
    <n v="28"/>
    <x v="1"/>
    <d v="2026-10-04T00:00:00"/>
    <x v="10"/>
    <x v="3"/>
    <x v="4"/>
    <x v="1"/>
    <s v="XXL"/>
    <n v="1"/>
    <s v="INR"/>
    <n v="732"/>
    <s v="GURGAO"/>
    <x v="0"/>
    <s v="IN"/>
  </r>
  <r>
    <n v="48"/>
    <n v="122360"/>
    <n v="1081"/>
    <x v="1"/>
    <n v="29"/>
    <x v="1"/>
    <d v="2026-10-04T00:00:00"/>
    <x v="10"/>
    <x v="1"/>
    <x v="0"/>
    <x v="2"/>
    <s v="S"/>
    <n v="1"/>
    <s v="INR"/>
    <n v="733"/>
    <s v="Delhi"/>
    <x v="3"/>
    <s v="IN"/>
  </r>
  <r>
    <n v="49"/>
    <n v="122361"/>
    <n v="1082"/>
    <x v="1"/>
    <n v="30"/>
    <x v="0"/>
    <d v="2026-12-04T00:00:00"/>
    <x v="0"/>
    <x v="3"/>
    <x v="0"/>
    <x v="0"/>
    <s v="L"/>
    <n v="1"/>
    <s v="INR"/>
    <n v="734"/>
    <s v="Mohali"/>
    <x v="2"/>
    <s v="IN"/>
  </r>
  <r>
    <n v="50"/>
    <n v="122362"/>
    <n v="1083"/>
    <x v="1"/>
    <n v="32"/>
    <x v="0"/>
    <d v="2026-12-04T00:00:00"/>
    <x v="0"/>
    <x v="0"/>
    <x v="1"/>
    <x v="4"/>
    <s v="Medium"/>
    <n v="1"/>
    <s v="INR"/>
    <n v="735"/>
    <s v="Delhi"/>
    <x v="3"/>
    <s v="I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n v="122313"/>
    <n v="1034"/>
    <x v="0"/>
    <n v="44"/>
    <s v="Adult"/>
    <d v="2026-12-04T00:00:00"/>
    <x v="0"/>
    <s v="Delivered"/>
    <s v="Myntra"/>
    <s v="Kurta"/>
    <s v="XL"/>
    <n v="7"/>
    <s v="INR"/>
    <n v="5000"/>
    <s v="GZB"/>
    <s v="UP"/>
    <s v="IN"/>
  </r>
  <r>
    <n v="2"/>
    <n v="122314"/>
    <n v="1035"/>
    <x v="1"/>
    <n v="29"/>
    <s v="Teenager"/>
    <d v="2026-12-04T00:00:00"/>
    <x v="0"/>
    <s v="Delivered"/>
    <s v="Ajio"/>
    <s v="Top"/>
    <s v="XXL"/>
    <n v="2"/>
    <s v="INR"/>
    <n v="1000"/>
    <s v="GURGAO"/>
    <s v="UP"/>
    <s v="IN"/>
  </r>
  <r>
    <n v="3"/>
    <n v="122315"/>
    <n v="1036"/>
    <x v="1"/>
    <n v="34"/>
    <s v="Adult"/>
    <d v="2026-01-06T00:00:00"/>
    <x v="1"/>
    <s v="Delivered"/>
    <s v="Amazon"/>
    <s v="Set"/>
    <s v="Medium"/>
    <n v="2"/>
    <s v="INR"/>
    <n v="1234"/>
    <s v="Vijayawada"/>
    <s v="ANDHRA PRADESH"/>
    <s v="IN"/>
  </r>
  <r>
    <n v="4"/>
    <n v="122316"/>
    <n v="1037"/>
    <x v="0"/>
    <n v="23"/>
    <s v="Teenager"/>
    <d v="2026-02-04T00:00:00"/>
    <x v="2"/>
    <s v="Delivered"/>
    <s v="Meesho"/>
    <s v="Kurta"/>
    <s v="L"/>
    <n v="1"/>
    <s v="INR"/>
    <n v="200"/>
    <s v="Mohali"/>
    <s v="PUNJAB"/>
    <s v="IN"/>
  </r>
  <r>
    <n v="5"/>
    <n v="122317"/>
    <n v="1038"/>
    <x v="1"/>
    <n v="18"/>
    <s v="Teenager"/>
    <d v="2026-03-04T00:00:00"/>
    <x v="3"/>
    <s v="Delivered"/>
    <s v="Trends"/>
    <s v="Western Dress"/>
    <s v="S"/>
    <n v="6"/>
    <s v="INR"/>
    <n v="6000"/>
    <s v="Delhi"/>
    <s v="DELHI"/>
    <s v="IN"/>
  </r>
  <r>
    <n v="6"/>
    <n v="122318"/>
    <n v="1039"/>
    <x v="1"/>
    <n v="25"/>
    <s v="Teenager"/>
    <d v="2026-04-04T00:00:00"/>
    <x v="4"/>
    <s v="Refund"/>
    <s v="Myntra"/>
    <s v="Kurta"/>
    <s v="XL"/>
    <n v="1"/>
    <s v="INR"/>
    <n v="265"/>
    <s v="GZB"/>
    <s v="UP"/>
    <s v="IN"/>
  </r>
  <r>
    <n v="7"/>
    <n v="122319"/>
    <n v="1040"/>
    <x v="1"/>
    <n v="65"/>
    <s v="Senior"/>
    <d v="2026-05-04T00:00:00"/>
    <x v="5"/>
    <s v="Delivered"/>
    <s v="Myntra"/>
    <s v="Set"/>
    <s v="XXL"/>
    <n v="1"/>
    <s v="INR"/>
    <n v="354"/>
    <s v="GURGAO"/>
    <s v="UP"/>
    <s v="IN"/>
  </r>
  <r>
    <n v="8"/>
    <n v="122320"/>
    <n v="1041"/>
    <x v="0"/>
    <n v="45"/>
    <s v="Adult"/>
    <d v="2026-06-04T00:00:00"/>
    <x v="6"/>
    <s v="Delivered"/>
    <s v="Ajio"/>
    <s v="Set"/>
    <s v="S"/>
    <s v="a"/>
    <s v="INR"/>
    <n v="345"/>
    <s v="Delhi"/>
    <s v="DELHI"/>
    <s v="IN"/>
  </r>
  <r>
    <n v="9"/>
    <n v="122321"/>
    <n v="1042"/>
    <x v="1"/>
    <n v="34"/>
    <s v="Adult"/>
    <d v="2026-07-04T00:00:00"/>
    <x v="7"/>
    <s v="Refund"/>
    <s v="Amazon"/>
    <s v="Set"/>
    <s v="L"/>
    <n v="1"/>
    <s v="INR"/>
    <n v="2000"/>
    <s v="Thiruvanantpuram"/>
    <s v="KERALA"/>
    <s v="IN"/>
  </r>
  <r>
    <n v="10"/>
    <n v="122322"/>
    <n v="1043"/>
    <x v="1"/>
    <n v="22"/>
    <s v="Teenager"/>
    <d v="2026-07-04T00:00:00"/>
    <x v="7"/>
    <s v="Refund"/>
    <s v="Meesho"/>
    <s v="Kurta"/>
    <s v="Medium"/>
    <n v="1"/>
    <s v="INR"/>
    <n v="345"/>
    <s v="Vijayawada"/>
    <s v="ANDHRA PRADESH"/>
    <s v="IN"/>
  </r>
  <r>
    <n v="11"/>
    <n v="122323"/>
    <n v="1044"/>
    <x v="1"/>
    <n v="26"/>
    <s v="Teenager"/>
    <d v="2026-07-04T00:00:00"/>
    <x v="7"/>
    <s v="Delivered"/>
    <s v="Trends"/>
    <s v="Top"/>
    <s v="XL"/>
    <n v="1"/>
    <s v="INR"/>
    <n v="254"/>
    <s v="GZB"/>
    <s v="UP"/>
    <s v="IN"/>
  </r>
  <r>
    <n v="12"/>
    <n v="122324"/>
    <n v="1045"/>
    <x v="0"/>
    <n v="36"/>
    <s v="Adult"/>
    <d v="2026-07-04T00:00:00"/>
    <x v="7"/>
    <s v="Delivered"/>
    <s v="Myntra"/>
    <s v="Set"/>
    <s v="XXL"/>
    <n v="1"/>
    <s v="INR"/>
    <n v="234"/>
    <s v="GURGAO"/>
    <s v="UP"/>
    <s v="IN"/>
  </r>
  <r>
    <n v="13"/>
    <n v="122325"/>
    <n v="1046"/>
    <x v="0"/>
    <n v="30"/>
    <s v="Adult"/>
    <d v="2026-07-04T00:00:00"/>
    <x v="7"/>
    <s v="Delivered"/>
    <s v="Myntra"/>
    <s v="Kurta"/>
    <s v="S"/>
    <n v="1"/>
    <s v="INR"/>
    <n v="543"/>
    <s v="Delhi"/>
    <s v="DELHI"/>
    <s v="IN"/>
  </r>
  <r>
    <n v="14"/>
    <n v="122326"/>
    <n v="1047"/>
    <x v="1"/>
    <n v="28"/>
    <s v="Teenager"/>
    <d v="2026-08-04T00:00:00"/>
    <x v="8"/>
    <s v="Delivered"/>
    <s v="Ajio"/>
    <s v="Womenestern Dress"/>
    <s v="Free size"/>
    <n v="1"/>
    <s v="INR"/>
    <n v="654"/>
    <s v="Amritsar"/>
    <s v="PUNJAB"/>
    <s v="IN"/>
  </r>
  <r>
    <n v="15"/>
    <n v="122327"/>
    <n v="1048"/>
    <x v="1"/>
    <n v="24"/>
    <s v="Teenager"/>
    <d v="2026-08-04T00:00:00"/>
    <x v="8"/>
    <s v="Delivered"/>
    <s v="Amazon"/>
    <s v="Kurta"/>
    <s v="Medium"/>
    <n v="2"/>
    <s v="INR"/>
    <n v="643"/>
    <s v="Guwahati"/>
    <s v="ASSAM"/>
    <s v="IN"/>
  </r>
  <r>
    <n v="16"/>
    <n v="122328"/>
    <n v="1049"/>
    <x v="1"/>
    <n v="22"/>
    <s v="Teenager"/>
    <d v="2026-08-04T00:00:00"/>
    <x v="8"/>
    <s v="Delivered"/>
    <s v="Meesho"/>
    <s v="Set"/>
    <s v="XL"/>
    <n v="1"/>
    <s v="INR"/>
    <n v="1001"/>
    <s v="GZB"/>
    <s v="UP"/>
    <s v="IN"/>
  </r>
  <r>
    <n v="17"/>
    <n v="122329"/>
    <n v="1050"/>
    <x v="0"/>
    <n v="23"/>
    <s v="Teenager"/>
    <d v="2026-08-04T00:00:00"/>
    <x v="8"/>
    <s v="Delivered"/>
    <s v="Trends"/>
    <s v="Set"/>
    <s v="XXL"/>
    <n v="1"/>
    <s v="INR"/>
    <n v="300"/>
    <s v="GURGAO"/>
    <s v="UP"/>
    <s v="IN"/>
  </r>
  <r>
    <n v="18"/>
    <n v="122330"/>
    <n v="1051"/>
    <x v="1"/>
    <n v="45"/>
    <s v="Adult"/>
    <d v="2026-08-04T00:00:00"/>
    <x v="8"/>
    <s v="Delivered"/>
    <s v="Myntra"/>
    <s v="Set"/>
    <s v="Medium"/>
    <n v="1"/>
    <s v="INR"/>
    <n v="302"/>
    <s v="Delhi"/>
    <s v="DELHI"/>
    <s v="IN"/>
  </r>
  <r>
    <n v="19"/>
    <n v="122331"/>
    <n v="1052"/>
    <x v="1"/>
    <n v="34"/>
    <s v="Adult"/>
    <d v="2026-08-04T00:00:00"/>
    <x v="8"/>
    <s v="Delivered"/>
    <s v="Myntra"/>
    <s v="Kurta"/>
    <s v="Free size"/>
    <n v="1"/>
    <s v="INR"/>
    <n v="357"/>
    <s v="Thiruvanantpuram"/>
    <s v="KERALA"/>
    <s v="IN"/>
  </r>
  <r>
    <n v="20"/>
    <n v="122332"/>
    <n v="1053"/>
    <x v="0"/>
    <n v="21"/>
    <s v="Teenager"/>
    <d v="2026-08-04T00:00:00"/>
    <x v="8"/>
    <s v="Delivered"/>
    <s v="Ajio"/>
    <s v="Top"/>
    <s v="S"/>
    <n v="1"/>
    <s v="INR"/>
    <n v="400"/>
    <s v="Guwahati"/>
    <s v="ASSAM"/>
    <s v="IN"/>
  </r>
  <r>
    <n v="21"/>
    <n v="122333"/>
    <n v="1054"/>
    <x v="0"/>
    <n v="23"/>
    <s v="Teenager"/>
    <d v="2026-08-04T00:00:00"/>
    <x v="8"/>
    <s v="Delivered"/>
    <s v="Amazon"/>
    <s v="Set"/>
    <s v="XL"/>
    <n v="1"/>
    <s v="INR"/>
    <n v="421"/>
    <s v="GZB"/>
    <s v="UP"/>
    <s v="IN"/>
  </r>
  <r>
    <n v="22"/>
    <n v="122334"/>
    <n v="1055"/>
    <x v="1"/>
    <n v="23"/>
    <s v="Teenager"/>
    <d v="2026-08-04T00:00:00"/>
    <x v="8"/>
    <s v="Delivered"/>
    <s v="Meesho"/>
    <s v="Kurta"/>
    <s v="XXL"/>
    <n v="1"/>
    <s v="INR"/>
    <n v="352"/>
    <s v="GURGAO"/>
    <s v="UP"/>
    <s v="IN"/>
  </r>
  <r>
    <n v="23"/>
    <n v="122335"/>
    <n v="1056"/>
    <x v="1"/>
    <n v="24"/>
    <s v="Teenager"/>
    <d v="2026-08-04T00:00:00"/>
    <x v="8"/>
    <s v="Delivered"/>
    <s v="Trends"/>
    <s v="Womenestern Dress"/>
    <s v="Medium"/>
    <n v="1"/>
    <s v="INR"/>
    <n v="542"/>
    <s v="Delhi"/>
    <s v="DELHI"/>
    <s v="IN"/>
  </r>
  <r>
    <n v="24"/>
    <n v="122336"/>
    <n v="1057"/>
    <x v="0"/>
    <n v="27"/>
    <s v="Teenager"/>
    <d v="2026-08-04T00:00:00"/>
    <x v="8"/>
    <s v="Delivered"/>
    <s v="Myntra"/>
    <s v="Kurta"/>
    <s v="L"/>
    <n v="1"/>
    <s v="INR"/>
    <n v="342"/>
    <s v="Mohali"/>
    <s v="PUNJAB"/>
    <s v="IN"/>
  </r>
  <r>
    <n v="25"/>
    <n v="122337"/>
    <n v="1058"/>
    <x v="0"/>
    <n v="63"/>
    <s v="Senior"/>
    <d v="2026-09-04T00:00:00"/>
    <x v="9"/>
    <s v="Delivered"/>
    <s v="Myntra"/>
    <s v="Set"/>
    <s v="S"/>
    <n v="1"/>
    <s v="INR"/>
    <n v="342"/>
    <s v="Delhi"/>
    <s v="DELHI"/>
    <s v="IN"/>
  </r>
  <r>
    <n v="26"/>
    <n v="122338"/>
    <n v="1059"/>
    <x v="1"/>
    <n v="23"/>
    <s v="Teenager"/>
    <d v="2026-09-04T00:00:00"/>
    <x v="9"/>
    <s v="Delivered"/>
    <s v="Ajio"/>
    <s v="Set"/>
    <s v="XL"/>
    <n v="1"/>
    <s v="INR"/>
    <n v="126"/>
    <s v="GZB"/>
    <s v="UP"/>
    <s v="IN"/>
  </r>
  <r>
    <n v="27"/>
    <n v="122339"/>
    <n v="1060"/>
    <x v="1"/>
    <n v="34"/>
    <s v="Adult"/>
    <d v="2026-09-04T00:00:00"/>
    <x v="9"/>
    <s v="Delivered"/>
    <s v="Amazon"/>
    <s v="Set"/>
    <s v="XXL"/>
    <n v="1"/>
    <s v="INR"/>
    <n v="712"/>
    <s v="GURGAO"/>
    <s v="UP"/>
    <s v="IN"/>
  </r>
  <r>
    <n v="28"/>
    <n v="122340"/>
    <n v="1061"/>
    <x v="0"/>
    <n v="26"/>
    <s v="Teenager"/>
    <d v="2026-09-04T00:00:00"/>
    <x v="9"/>
    <s v="Cancelled"/>
    <s v="Meesho"/>
    <s v="Kurta"/>
    <s v="S"/>
    <n v="1"/>
    <s v="INR"/>
    <n v="713"/>
    <s v="Delhi"/>
    <s v="DELHI"/>
    <s v="IN"/>
  </r>
  <r>
    <n v="29"/>
    <n v="122341"/>
    <n v="1062"/>
    <x v="0"/>
    <n v="27"/>
    <s v="Teenager"/>
    <d v="2026-09-04T00:00:00"/>
    <x v="9"/>
    <s v="Delivered"/>
    <s v="Trends"/>
    <s v="Top"/>
    <s v="L"/>
    <n v="1"/>
    <s v="INR"/>
    <n v="714"/>
    <s v="Thiruvanantpuram"/>
    <s v="KERALA"/>
    <s v="IN"/>
  </r>
  <r>
    <n v="30"/>
    <n v="122342"/>
    <n v="1063"/>
    <x v="1"/>
    <n v="28"/>
    <s v="Teenager"/>
    <d v="2026-09-04T00:00:00"/>
    <x v="9"/>
    <s v="Delivered"/>
    <s v="Myntra"/>
    <s v="Set"/>
    <s v="Medium"/>
    <n v="1"/>
    <s v="INR"/>
    <n v="715"/>
    <s v="Delhi"/>
    <s v="DELHI"/>
    <s v="IN"/>
  </r>
  <r>
    <n v="31"/>
    <n v="122343"/>
    <n v="1064"/>
    <x v="1"/>
    <n v="29"/>
    <s v="Teenager"/>
    <d v="2026-09-04T00:00:00"/>
    <x v="9"/>
    <s v="Delivered"/>
    <s v="Myntra"/>
    <s v="Kurta"/>
    <s v="XL"/>
    <n v="1"/>
    <s v="INR"/>
    <n v="716"/>
    <s v="GZB"/>
    <s v="UP"/>
    <s v="IN"/>
  </r>
  <r>
    <n v="32"/>
    <n v="122344"/>
    <n v="1065"/>
    <x v="0"/>
    <n v="15"/>
    <s v="Teenager"/>
    <d v="2026-09-04T00:00:00"/>
    <x v="9"/>
    <s v="Cancelled"/>
    <s v="Ajio"/>
    <s v="Western Dress"/>
    <s v="XXL"/>
    <n v="1"/>
    <s v="INR"/>
    <n v="717"/>
    <s v="GURGAO"/>
    <s v="UP"/>
    <s v="IN"/>
  </r>
  <r>
    <n v="33"/>
    <n v="122345"/>
    <n v="1066"/>
    <x v="0"/>
    <n v="43"/>
    <s v="Adult"/>
    <d v="2026-09-04T00:00:00"/>
    <x v="9"/>
    <s v="Cancelled"/>
    <s v="Amazon"/>
    <s v="Kurta"/>
    <s v="S"/>
    <n v="1"/>
    <s v="INR"/>
    <n v="718"/>
    <s v="Bengaluru"/>
    <s v="KARNATAKA"/>
    <s v="IN"/>
  </r>
  <r>
    <n v="34"/>
    <n v="122346"/>
    <n v="1067"/>
    <x v="1"/>
    <n v="34"/>
    <s v="Adult"/>
    <d v="2026-09-04T00:00:00"/>
    <x v="9"/>
    <s v="Cancelled"/>
    <s v="Meesho"/>
    <s v="Bottom"/>
    <s v="Free size"/>
    <n v="1"/>
    <s v="INR"/>
    <n v="719"/>
    <s v="Thiruvanantpuram"/>
    <s v="KERALA"/>
    <s v="IN"/>
  </r>
  <r>
    <n v="35"/>
    <n v="122347"/>
    <n v="1068"/>
    <x v="1"/>
    <n v="35"/>
    <s v="Adult"/>
    <d v="2026-09-04T00:00:00"/>
    <x v="9"/>
    <s v="Delivered"/>
    <s v="Trends"/>
    <s v="Set"/>
    <s v="Medium"/>
    <n v="1"/>
    <s v="INR"/>
    <n v="720"/>
    <s v="Delhi"/>
    <s v="DELHI"/>
    <s v="IN"/>
  </r>
  <r>
    <n v="36"/>
    <n v="122348"/>
    <n v="1069"/>
    <x v="0"/>
    <n v="36"/>
    <s v="Adult"/>
    <d v="2026-09-04T00:00:00"/>
    <x v="9"/>
    <s v="Returned"/>
    <s v="Myntra"/>
    <s v="Ethnic dress"/>
    <s v="XL"/>
    <n v="1"/>
    <s v="INR"/>
    <n v="721"/>
    <s v="GZB"/>
    <s v="UP"/>
    <s v="IN"/>
  </r>
  <r>
    <n v="37"/>
    <n v="122349"/>
    <n v="1070"/>
    <x v="0"/>
    <n v="30"/>
    <s v="Adult"/>
    <d v="2026-09-04T00:00:00"/>
    <x v="9"/>
    <s v="Delivered"/>
    <s v="Myntra"/>
    <s v="Kurta"/>
    <s v="XXL"/>
    <n v="1"/>
    <s v="INR"/>
    <n v="722"/>
    <s v="GURGAO"/>
    <s v="UP"/>
    <s v="IN"/>
  </r>
  <r>
    <n v="38"/>
    <n v="122350"/>
    <n v="1071"/>
    <x v="1"/>
    <n v="39"/>
    <s v="Adult"/>
    <d v="2026-09-04T00:00:00"/>
    <x v="9"/>
    <s v="Delivered"/>
    <s v="Ajio"/>
    <s v="Top"/>
    <s v="Medium"/>
    <n v="1"/>
    <s v="INR"/>
    <n v="723"/>
    <s v="Bengaluru"/>
    <s v="KARNATAKA"/>
    <s v="IN"/>
  </r>
  <r>
    <n v="39"/>
    <n v="122351"/>
    <n v="1072"/>
    <x v="1"/>
    <n v="37"/>
    <s v="Adult"/>
    <d v="2026-10-04T00:00:00"/>
    <x v="10"/>
    <s v="Cancelled"/>
    <s v="Amazon"/>
    <s v="Frock"/>
    <s v="Free size"/>
    <n v="1"/>
    <s v="INR"/>
    <n v="724"/>
    <s v="Amritsar"/>
    <s v="PUNJAB"/>
    <s v="IN"/>
  </r>
  <r>
    <n v="40"/>
    <n v="122352"/>
    <n v="1073"/>
    <x v="0"/>
    <n v="29"/>
    <s v="Teenager"/>
    <d v="2026-10-04T00:00:00"/>
    <x v="10"/>
    <s v="Delivered"/>
    <s v="Meesho"/>
    <s v="Kurta"/>
    <s v="S"/>
    <n v="1"/>
    <s v="INR"/>
    <n v="725"/>
    <s v="Delhi"/>
    <s v="DELHI"/>
    <s v="IN"/>
  </r>
  <r>
    <n v="41"/>
    <n v="122353"/>
    <n v="1074"/>
    <x v="0"/>
    <n v="24"/>
    <s v="Teenager"/>
    <d v="2026-10-04T00:00:00"/>
    <x v="10"/>
    <s v="Delivered"/>
    <s v="Trends"/>
    <s v="Western Dress"/>
    <s v="XL"/>
    <n v="1"/>
    <s v="INR"/>
    <n v="726"/>
    <s v="GZB"/>
    <s v="UP"/>
    <s v="IN"/>
  </r>
  <r>
    <n v="42"/>
    <n v="122354"/>
    <n v="1075"/>
    <x v="1"/>
    <n v="24"/>
    <s v="Teenager"/>
    <d v="2026-10-04T00:00:00"/>
    <x v="10"/>
    <s v="Delivered"/>
    <s v="Myntra"/>
    <s v="Blouse"/>
    <s v="XXL"/>
    <n v="1"/>
    <s v="INR"/>
    <n v="727"/>
    <s v="GURGAO"/>
    <s v="UP"/>
    <s v="IN"/>
  </r>
  <r>
    <n v="43"/>
    <n v="122355"/>
    <n v="1076"/>
    <x v="1"/>
    <n v="25"/>
    <s v="Teenager"/>
    <d v="2026-10-04T00:00:00"/>
    <x v="10"/>
    <s v="Cancelled"/>
    <s v="Myntra"/>
    <s v="Saree"/>
    <s v="Medium"/>
    <n v="1"/>
    <s v="INR"/>
    <n v="728"/>
    <s v="Delhi"/>
    <s v="DELHI"/>
    <s v="IN"/>
  </r>
  <r>
    <n v="44"/>
    <n v="122356"/>
    <n v="1077"/>
    <x v="0"/>
    <n v="27"/>
    <s v="Teenager"/>
    <d v="2026-10-04T00:00:00"/>
    <x v="10"/>
    <s v="Delivered"/>
    <s v="Ajio"/>
    <s v="Set"/>
    <s v="L"/>
    <n v="1"/>
    <s v="INR"/>
    <n v="729"/>
    <s v="Sangli Miraj"/>
    <s v="MAHARASTRA"/>
    <s v="IN"/>
  </r>
  <r>
    <n v="45"/>
    <n v="122357"/>
    <n v="1078"/>
    <x v="1"/>
    <n v="29"/>
    <s v="Teenager"/>
    <d v="2026-10-04T00:00:00"/>
    <x v="10"/>
    <s v="Returned"/>
    <s v="Amazon"/>
    <s v="Set"/>
    <s v="S"/>
    <n v="1"/>
    <s v="INR"/>
    <n v="730"/>
    <s v="Bengaluru"/>
    <s v="KARNATAKA"/>
    <s v="IN"/>
  </r>
  <r>
    <n v="46"/>
    <n v="122358"/>
    <n v="1079"/>
    <x v="1"/>
    <n v="28"/>
    <s v="Teenager"/>
    <d v="2026-10-04T00:00:00"/>
    <x v="10"/>
    <s v="Refund"/>
    <s v="Meesho"/>
    <s v="Kurta"/>
    <s v="XL"/>
    <n v="1"/>
    <s v="INR"/>
    <n v="731"/>
    <s v="GZB"/>
    <s v="UP"/>
    <s v="IN"/>
  </r>
  <r>
    <n v="47"/>
    <n v="122359"/>
    <n v="1080"/>
    <x v="1"/>
    <n v="28"/>
    <s v="Teenager"/>
    <d v="2026-10-04T00:00:00"/>
    <x v="10"/>
    <s v="Returned"/>
    <s v="Trends"/>
    <s v="Top"/>
    <s v="XXL"/>
    <n v="1"/>
    <s v="INR"/>
    <n v="732"/>
    <s v="GURGAO"/>
    <s v="UP"/>
    <s v="IN"/>
  </r>
  <r>
    <n v="48"/>
    <n v="122360"/>
    <n v="1081"/>
    <x v="1"/>
    <n v="29"/>
    <s v="Teenager"/>
    <d v="2026-10-04T00:00:00"/>
    <x v="10"/>
    <s v="Refund"/>
    <s v="Myntra"/>
    <s v="Set"/>
    <s v="S"/>
    <n v="1"/>
    <s v="INR"/>
    <n v="733"/>
    <s v="Delhi"/>
    <s v="DELHI"/>
    <s v="IN"/>
  </r>
  <r>
    <n v="49"/>
    <n v="122361"/>
    <n v="1082"/>
    <x v="1"/>
    <n v="30"/>
    <s v="Adult"/>
    <d v="2026-12-04T00:00:00"/>
    <x v="0"/>
    <s v="Returned"/>
    <s v="Myntra"/>
    <s v="Kurta"/>
    <s v="L"/>
    <n v="1"/>
    <s v="INR"/>
    <n v="734"/>
    <s v="Mohali"/>
    <s v="PUNJAB"/>
    <s v="IN"/>
  </r>
  <r>
    <n v="50"/>
    <n v="122362"/>
    <n v="1083"/>
    <x v="1"/>
    <n v="32"/>
    <s v="Adult"/>
    <d v="2026-12-04T00:00:00"/>
    <x v="0"/>
    <s v="Delivered"/>
    <s v="Ajio"/>
    <s v="Womenestern Dress"/>
    <s v="Medium"/>
    <n v="1"/>
    <s v="INR"/>
    <n v="735"/>
    <s v="Delhi"/>
    <s v="DELHI"/>
    <s v="I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01C71F-7BC1-47F4-9605-09381692653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2:T69" firstHeaderRow="1" firstDataRow="1" firstDataCol="0"/>
  <pivotFields count="18">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621348-4005-48D4-A7E8-5B8563464F3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5" firstHeaderRow="0" firstDataRow="1" firstDataCol="1"/>
  <pivotFields count="18">
    <pivotField showAll="0"/>
    <pivotField dataField="1" showAll="0"/>
    <pivotField showAll="0"/>
    <pivotField showAll="0"/>
    <pivotField showAll="0"/>
    <pivotField showAll="0"/>
    <pivotField numFmtId="14" showAll="0"/>
    <pivotField axis="axisRow" showAll="0">
      <items count="12">
        <item h="1" x="1"/>
        <item h="1" x="2"/>
        <item h="1" x="3"/>
        <item x="4"/>
        <item h="1" x="5"/>
        <item h="1" x="6"/>
        <item h="1" x="7"/>
        <item h="1" x="8"/>
        <item h="1" x="9"/>
        <item h="1" x="10"/>
        <item h="1" x="0"/>
        <item t="default"/>
      </items>
    </pivotField>
    <pivotField showAll="0"/>
    <pivotField showAll="0">
      <items count="6">
        <item h="1" x="1"/>
        <item h="1" x="2"/>
        <item h="1" x="3"/>
        <item x="0"/>
        <item h="1" x="4"/>
        <item t="default"/>
      </items>
    </pivotField>
    <pivotField showAll="0">
      <items count="11">
        <item x="8"/>
        <item x="5"/>
        <item x="6"/>
        <item x="7"/>
        <item x="0"/>
        <item x="9"/>
        <item x="2"/>
        <item x="1"/>
        <item x="3"/>
        <item x="4"/>
        <item t="default"/>
      </items>
    </pivotField>
    <pivotField showAll="0"/>
    <pivotField showAll="0"/>
    <pivotField showAll="0"/>
    <pivotField dataField="1" showAll="0"/>
    <pivotField showAll="0"/>
    <pivotField showAll="0">
      <items count="9">
        <item x="1"/>
        <item x="5"/>
        <item x="3"/>
        <item x="6"/>
        <item x="4"/>
        <item x="7"/>
        <item x="2"/>
        <item x="0"/>
        <item t="default"/>
      </items>
    </pivotField>
    <pivotField showAll="0"/>
  </pivotFields>
  <rowFields count="1">
    <field x="7"/>
  </rowFields>
  <rowItems count="2">
    <i>
      <x v="3"/>
    </i>
    <i t="grand">
      <x/>
    </i>
  </rowItems>
  <colFields count="1">
    <field x="-2"/>
  </colFields>
  <colItems count="2">
    <i>
      <x/>
    </i>
    <i i="1">
      <x v="1"/>
    </i>
  </colItems>
  <dataFields count="2">
    <dataField name="Sum of Amount" fld="14" baseField="0" baseItem="0"/>
    <dataField name="Count of Order ID" fld="1" subtotal="count" baseField="0" baseItem="1"/>
  </dataFields>
  <formats count="10">
    <format dxfId="173">
      <pivotArea collapsedLevelsAreSubtotals="1" fieldPosition="0">
        <references count="1">
          <reference field="7" count="0"/>
        </references>
      </pivotArea>
    </format>
    <format dxfId="172">
      <pivotArea field="7" type="button" dataOnly="0" labelOnly="1" outline="0" axis="axisRow" fieldPosition="0"/>
    </format>
    <format dxfId="171">
      <pivotArea dataOnly="0" labelOnly="1" fieldPosition="0">
        <references count="1">
          <reference field="7" count="0"/>
        </references>
      </pivotArea>
    </format>
    <format dxfId="170">
      <pivotArea dataOnly="0" labelOnly="1" outline="0" fieldPosition="0">
        <references count="1">
          <reference field="4294967294" count="2">
            <x v="0"/>
            <x v="1"/>
          </reference>
        </references>
      </pivotArea>
    </format>
    <format dxfId="169">
      <pivotArea type="all" dataOnly="0" outline="0" fieldPosition="0"/>
    </format>
    <format dxfId="168">
      <pivotArea outline="0" collapsedLevelsAreSubtotals="1" fieldPosition="0"/>
    </format>
    <format dxfId="167">
      <pivotArea field="7" type="button" dataOnly="0" labelOnly="1" outline="0" axis="axisRow" fieldPosition="0"/>
    </format>
    <format dxfId="166">
      <pivotArea dataOnly="0" labelOnly="1" fieldPosition="0">
        <references count="1">
          <reference field="7" count="0"/>
        </references>
      </pivotArea>
    </format>
    <format dxfId="165">
      <pivotArea dataOnly="0" labelOnly="1" grandRow="1" outline="0" fieldPosition="0"/>
    </format>
    <format dxfId="164">
      <pivotArea dataOnly="0" labelOnly="1" outline="0" fieldPosition="0">
        <references count="1">
          <reference field="4294967294" count="2">
            <x v="0"/>
            <x v="1"/>
          </reference>
        </references>
      </pivotArea>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D31299-42FA-40AB-B957-D64458EC5A2B}"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4" firstHeaderRow="1" firstDataRow="1" firstDataCol="1"/>
  <pivotFields count="18">
    <pivotField showAll="0"/>
    <pivotField showAll="0"/>
    <pivotField showAll="0"/>
    <pivotField axis="axisRow" showAll="0">
      <items count="3">
        <item x="0"/>
        <item x="1"/>
        <item t="default"/>
      </items>
    </pivotField>
    <pivotField showAll="0"/>
    <pivotField showAll="0"/>
    <pivotField numFmtId="14" showAll="0"/>
    <pivotField showAll="0">
      <items count="12">
        <item h="1" x="1"/>
        <item h="1" x="2"/>
        <item h="1" x="3"/>
        <item x="4"/>
        <item h="1" x="5"/>
        <item h="1" x="6"/>
        <item h="1" x="7"/>
        <item h="1" x="8"/>
        <item h="1" x="9"/>
        <item h="1" x="10"/>
        <item h="1" x="0"/>
        <item t="default"/>
      </items>
    </pivotField>
    <pivotField showAll="0"/>
    <pivotField showAll="0">
      <items count="6">
        <item h="1" x="1"/>
        <item h="1" x="2"/>
        <item h="1" x="3"/>
        <item x="0"/>
        <item h="1" x="4"/>
        <item t="default"/>
      </items>
    </pivotField>
    <pivotField showAll="0">
      <items count="11">
        <item x="8"/>
        <item x="5"/>
        <item x="6"/>
        <item x="7"/>
        <item x="0"/>
        <item x="9"/>
        <item x="2"/>
        <item x="1"/>
        <item x="3"/>
        <item x="4"/>
        <item t="default"/>
      </items>
    </pivotField>
    <pivotField showAll="0"/>
    <pivotField showAll="0"/>
    <pivotField showAll="0"/>
    <pivotField dataField="1" showAll="0"/>
    <pivotField showAll="0"/>
    <pivotField showAll="0">
      <items count="9">
        <item x="1"/>
        <item x="5"/>
        <item x="3"/>
        <item x="6"/>
        <item x="4"/>
        <item x="7"/>
        <item x="2"/>
        <item x="0"/>
        <item t="default"/>
      </items>
    </pivotField>
    <pivotField showAll="0"/>
  </pivotFields>
  <rowFields count="1">
    <field x="3"/>
  </rowFields>
  <rowItems count="1">
    <i>
      <x v="1"/>
    </i>
  </rowItems>
  <colItems count="1">
    <i/>
  </colItems>
  <dataFields count="1">
    <dataField name="Sum of Amount" fld="14" baseField="0" baseItem="0"/>
  </dataFields>
  <formats count="10">
    <format dxfId="163">
      <pivotArea type="all" dataOnly="0" outline="0" fieldPosition="0"/>
    </format>
    <format dxfId="162">
      <pivotArea outline="0" collapsedLevelsAreSubtotals="1" fieldPosition="0"/>
    </format>
    <format dxfId="161">
      <pivotArea field="3" type="button" dataOnly="0" labelOnly="1" outline="0" axis="axisRow" fieldPosition="0"/>
    </format>
    <format dxfId="160">
      <pivotArea dataOnly="0" labelOnly="1" fieldPosition="0">
        <references count="1">
          <reference field="3" count="0"/>
        </references>
      </pivotArea>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field="3" type="button" dataOnly="0" labelOnly="1" outline="0" axis="axisRow" fieldPosition="0"/>
    </format>
    <format dxfId="155">
      <pivotArea dataOnly="0" labelOnly="1" fieldPosition="0">
        <references count="1">
          <reference field="3" count="0"/>
        </references>
      </pivotArea>
    </format>
    <format dxfId="15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3" count="1" selected="0">
            <x v="0"/>
          </reference>
        </references>
      </pivotArea>
    </chartFormat>
    <chartFormat chart="8"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7EE116-132D-4DCC-9EA1-ACCC935A432D}"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4" firstHeaderRow="1" firstDataRow="1" firstDataCol="1"/>
  <pivotFields count="18">
    <pivotField showAll="0"/>
    <pivotField dataField="1" showAll="0"/>
    <pivotField showAll="0"/>
    <pivotField showAll="0"/>
    <pivotField showAll="0"/>
    <pivotField showAll="0"/>
    <pivotField numFmtId="14" showAll="0"/>
    <pivotField showAll="0">
      <items count="12">
        <item h="1" x="1"/>
        <item h="1" x="2"/>
        <item h="1" x="3"/>
        <item x="4"/>
        <item h="1" x="5"/>
        <item h="1" x="6"/>
        <item h="1" x="7"/>
        <item h="1" x="8"/>
        <item h="1" x="9"/>
        <item h="1" x="10"/>
        <item h="1" x="0"/>
        <item t="default"/>
      </items>
    </pivotField>
    <pivotField axis="axisRow" showAll="0">
      <items count="5">
        <item x="2"/>
        <item x="0"/>
        <item x="1"/>
        <item x="3"/>
        <item t="default"/>
      </items>
    </pivotField>
    <pivotField showAll="0">
      <items count="6">
        <item h="1" x="1"/>
        <item h="1" x="2"/>
        <item h="1" x="3"/>
        <item x="0"/>
        <item h="1" x="4"/>
        <item t="default"/>
      </items>
    </pivotField>
    <pivotField showAll="0">
      <items count="11">
        <item x="8"/>
        <item x="5"/>
        <item x="6"/>
        <item x="7"/>
        <item x="0"/>
        <item x="9"/>
        <item x="2"/>
        <item x="1"/>
        <item x="3"/>
        <item x="4"/>
        <item t="default"/>
      </items>
    </pivotField>
    <pivotField showAll="0"/>
    <pivotField showAll="0"/>
    <pivotField showAll="0"/>
    <pivotField showAll="0"/>
    <pivotField showAll="0"/>
    <pivotField showAll="0">
      <items count="9">
        <item x="1"/>
        <item x="5"/>
        <item x="3"/>
        <item x="6"/>
        <item x="4"/>
        <item x="7"/>
        <item x="2"/>
        <item x="0"/>
        <item t="default"/>
      </items>
    </pivotField>
    <pivotField showAll="0"/>
  </pivotFields>
  <rowFields count="1">
    <field x="8"/>
  </rowFields>
  <rowItems count="1">
    <i>
      <x v="2"/>
    </i>
  </rowItems>
  <colItems count="1">
    <i/>
  </colItems>
  <dataFields count="1">
    <dataField name="Count of Order ID" fld="1" subtotal="count" baseField="8" baseItem="0"/>
  </dataFields>
  <formats count="5">
    <format dxfId="153">
      <pivotArea type="all" dataOnly="0" outline="0" fieldPosition="0"/>
    </format>
    <format dxfId="152">
      <pivotArea outline="0" collapsedLevelsAreSubtotals="1" fieldPosition="0"/>
    </format>
    <format dxfId="151">
      <pivotArea field="8" type="button" dataOnly="0" labelOnly="1" outline="0" axis="axisRow" fieldPosition="0"/>
    </format>
    <format dxfId="150">
      <pivotArea dataOnly="0" labelOnly="1" fieldPosition="0">
        <references count="1">
          <reference field="8" count="0"/>
        </references>
      </pivotArea>
    </format>
    <format dxfId="14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1"/>
          </reference>
        </references>
      </pivotArea>
    </chartFormat>
    <chartFormat chart="5" format="8">
      <pivotArea type="data" outline="0" fieldPosition="0">
        <references count="2">
          <reference field="4294967294" count="1" selected="0">
            <x v="0"/>
          </reference>
          <reference field="8" count="1" selected="0">
            <x v="2"/>
          </reference>
        </references>
      </pivotArea>
    </chartFormat>
    <chartFormat chart="5" format="9">
      <pivotArea type="data" outline="0" fieldPosition="0">
        <references count="2">
          <reference field="4294967294" count="1" selected="0">
            <x v="0"/>
          </reference>
          <reference field="8"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8" count="1" selected="0">
            <x v="0"/>
          </reference>
        </references>
      </pivotArea>
    </chartFormat>
    <chartFormat chart="6" format="12">
      <pivotArea type="data" outline="0" fieldPosition="0">
        <references count="2">
          <reference field="4294967294" count="1" selected="0">
            <x v="0"/>
          </reference>
          <reference field="8" count="1" selected="0">
            <x v="1"/>
          </reference>
        </references>
      </pivotArea>
    </chartFormat>
    <chartFormat chart="6" format="13">
      <pivotArea type="data" outline="0" fieldPosition="0">
        <references count="2">
          <reference field="4294967294" count="1" selected="0">
            <x v="0"/>
          </reference>
          <reference field="8" count="1" selected="0">
            <x v="2"/>
          </reference>
        </references>
      </pivotArea>
    </chartFormat>
    <chartFormat chart="6" format="14">
      <pivotArea type="data" outline="0" fieldPosition="0">
        <references count="2">
          <reference field="4294967294" count="1" selected="0">
            <x v="0"/>
          </reference>
          <reference field="8" count="1" selected="0">
            <x v="3"/>
          </reference>
        </references>
      </pivotArea>
    </chartFormat>
  </chartFormat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8C369E-C41B-4E73-BA64-E1150D515A21}"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4" firstHeaderRow="1" firstDataRow="1" firstDataCol="1"/>
  <pivotFields count="18">
    <pivotField showAll="0"/>
    <pivotField showAll="0"/>
    <pivotField showAll="0"/>
    <pivotField showAll="0"/>
    <pivotField showAll="0"/>
    <pivotField showAll="0"/>
    <pivotField numFmtId="14" showAll="0"/>
    <pivotField showAll="0">
      <items count="12">
        <item h="1" x="1"/>
        <item h="1" x="2"/>
        <item h="1" x="3"/>
        <item x="4"/>
        <item h="1" x="5"/>
        <item h="1" x="6"/>
        <item h="1" x="7"/>
        <item h="1" x="8"/>
        <item h="1" x="9"/>
        <item h="1" x="10"/>
        <item h="1" x="0"/>
        <item t="default"/>
      </items>
    </pivotField>
    <pivotField showAll="0"/>
    <pivotField showAll="0">
      <items count="6">
        <item h="1" x="1"/>
        <item h="1" x="2"/>
        <item h="1" x="3"/>
        <item x="0"/>
        <item h="1" x="4"/>
        <item t="default"/>
      </items>
    </pivotField>
    <pivotField showAll="0">
      <items count="11">
        <item x="8"/>
        <item x="5"/>
        <item x="6"/>
        <item x="7"/>
        <item x="0"/>
        <item x="9"/>
        <item x="2"/>
        <item x="1"/>
        <item x="3"/>
        <item x="4"/>
        <item t="default"/>
      </items>
    </pivotField>
    <pivotField showAll="0"/>
    <pivotField showAll="0"/>
    <pivotField showAll="0"/>
    <pivotField dataField="1" showAll="0"/>
    <pivotField showAll="0"/>
    <pivotField axis="axisRow" showAll="0" sortType="descending">
      <items count="9">
        <item x="1"/>
        <item x="5"/>
        <item x="3"/>
        <item x="6"/>
        <item x="4"/>
        <item x="7"/>
        <item x="2"/>
        <item x="0"/>
        <item t="default"/>
      </items>
      <autoSortScope>
        <pivotArea dataOnly="0" outline="0" fieldPosition="0">
          <references count="1">
            <reference field="4294967294" count="1" selected="0">
              <x v="0"/>
            </reference>
          </references>
        </pivotArea>
      </autoSortScope>
    </pivotField>
    <pivotField showAll="0"/>
  </pivotFields>
  <rowFields count="1">
    <field x="16"/>
  </rowFields>
  <rowItems count="1">
    <i>
      <x v="7"/>
    </i>
  </rowItems>
  <colItems count="1">
    <i/>
  </colItems>
  <dataFields count="1">
    <dataField name="Sum of Amount" fld="14" showDataAs="percentOfTotal" baseField="0" baseItem="0" numFmtId="10"/>
  </dataFields>
  <formats count="12">
    <format dxfId="148">
      <pivotArea type="all" dataOnly="0" outline="0" fieldPosition="0"/>
    </format>
    <format dxfId="147">
      <pivotArea outline="0" fieldPosition="0">
        <references count="1">
          <reference field="4294967294" count="1">
            <x v="0"/>
          </reference>
        </references>
      </pivotArea>
    </format>
    <format dxfId="146">
      <pivotArea type="all" dataOnly="0" outline="0" fieldPosition="0"/>
    </format>
    <format dxfId="145">
      <pivotArea outline="0" collapsedLevelsAreSubtotals="1" fieldPosition="0"/>
    </format>
    <format dxfId="144">
      <pivotArea field="16" type="button" dataOnly="0" labelOnly="1" outline="0" axis="axisRow" fieldPosition="0"/>
    </format>
    <format dxfId="143">
      <pivotArea dataOnly="0" labelOnly="1" fieldPosition="0">
        <references count="1">
          <reference field="16" count="0"/>
        </references>
      </pivotArea>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16" type="button" dataOnly="0" labelOnly="1" outline="0" axis="axisRow" fieldPosition="0"/>
    </format>
    <format dxfId="138">
      <pivotArea dataOnly="0" labelOnly="1" fieldPosition="0">
        <references count="1">
          <reference field="16" count="0"/>
        </references>
      </pivotArea>
    </format>
    <format dxfId="13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5EFE3A-ED3F-4A01-9E9F-DA4A6E450915}"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5" firstHeaderRow="1" firstDataRow="2" firstDataCol="1"/>
  <pivotFields count="18">
    <pivotField showAll="0"/>
    <pivotField dataField="1" showAll="0"/>
    <pivotField showAll="0"/>
    <pivotField axis="axisCol" showAll="0">
      <items count="3">
        <item x="0"/>
        <item x="1"/>
        <item t="default"/>
      </items>
    </pivotField>
    <pivotField showAll="0"/>
    <pivotField axis="axisRow" showAll="0">
      <items count="4">
        <item x="0"/>
        <item x="2"/>
        <item x="1"/>
        <item t="default"/>
      </items>
    </pivotField>
    <pivotField numFmtId="14" showAll="0"/>
    <pivotField showAll="0">
      <items count="12">
        <item h="1" x="1"/>
        <item h="1" x="2"/>
        <item h="1" x="3"/>
        <item x="4"/>
        <item h="1" x="5"/>
        <item h="1" x="6"/>
        <item h="1" x="7"/>
        <item h="1" x="8"/>
        <item h="1" x="9"/>
        <item h="1" x="10"/>
        <item h="1" x="0"/>
        <item t="default"/>
      </items>
    </pivotField>
    <pivotField showAll="0"/>
    <pivotField showAll="0">
      <items count="6">
        <item h="1" x="1"/>
        <item h="1" x="2"/>
        <item h="1" x="3"/>
        <item x="0"/>
        <item h="1" x="4"/>
        <item t="default"/>
      </items>
    </pivotField>
    <pivotField showAll="0">
      <items count="11">
        <item x="8"/>
        <item x="5"/>
        <item x="6"/>
        <item x="7"/>
        <item x="0"/>
        <item x="9"/>
        <item x="2"/>
        <item x="1"/>
        <item x="3"/>
        <item x="4"/>
        <item t="default"/>
      </items>
    </pivotField>
    <pivotField showAll="0"/>
    <pivotField showAll="0"/>
    <pivotField showAll="0"/>
    <pivotField showAll="0"/>
    <pivotField showAll="0"/>
    <pivotField showAll="0">
      <items count="9">
        <item x="1"/>
        <item x="5"/>
        <item x="3"/>
        <item x="6"/>
        <item x="4"/>
        <item x="7"/>
        <item x="2"/>
        <item x="0"/>
        <item t="default"/>
      </items>
    </pivotField>
    <pivotField showAll="0"/>
  </pivotFields>
  <rowFields count="1">
    <field x="5"/>
  </rowFields>
  <rowItems count="1">
    <i>
      <x v="2"/>
    </i>
  </rowItems>
  <colFields count="1">
    <field x="3"/>
  </colFields>
  <colItems count="1">
    <i>
      <x v="1"/>
    </i>
  </colItems>
  <dataFields count="1">
    <dataField name="Count of Order ID" fld="1" subtotal="count" showDataAs="percentOfTotal" baseField="5" baseItem="0" numFmtId="10"/>
  </dataFields>
  <formats count="10">
    <format dxfId="136">
      <pivotArea type="all" dataOnly="0" outline="0" fieldPosition="0"/>
    </format>
    <format dxfId="135">
      <pivotArea type="all" dataOnly="0" outline="0" fieldPosition="0"/>
    </format>
    <format dxfId="134">
      <pivotArea type="all" dataOnly="0" outline="0" fieldPosition="0"/>
    </format>
    <format dxfId="133">
      <pivotArea outline="0" collapsedLevelsAreSubtotals="1" fieldPosition="0"/>
    </format>
    <format dxfId="132">
      <pivotArea type="origin" dataOnly="0" labelOnly="1" outline="0" fieldPosition="0"/>
    </format>
    <format dxfId="131">
      <pivotArea field="3" type="button" dataOnly="0" labelOnly="1" outline="0" axis="axisCol" fieldPosition="0"/>
    </format>
    <format dxfId="130">
      <pivotArea type="topRight" dataOnly="0" labelOnly="1" outline="0" fieldPosition="0"/>
    </format>
    <format dxfId="129">
      <pivotArea field="5" type="button" dataOnly="0" labelOnly="1" outline="0" axis="axisRow" fieldPosition="0"/>
    </format>
    <format dxfId="128">
      <pivotArea dataOnly="0" labelOnly="1" fieldPosition="0">
        <references count="1">
          <reference field="5" count="0"/>
        </references>
      </pivotArea>
    </format>
    <format dxfId="127">
      <pivotArea dataOnly="0" labelOnly="1" fieldPosition="0">
        <references count="1">
          <reference field="3" count="0"/>
        </references>
      </pivotArea>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475A6E-4C0A-4896-A8BF-C00679AFB58F}"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4" firstHeaderRow="1" firstDataRow="1" firstDataCol="1"/>
  <pivotFields count="18">
    <pivotField showAll="0"/>
    <pivotField dataField="1" showAll="0"/>
    <pivotField showAll="0"/>
    <pivotField showAll="0"/>
    <pivotField showAll="0"/>
    <pivotField showAll="0"/>
    <pivotField numFmtId="14" showAll="0"/>
    <pivotField showAll="0">
      <items count="12">
        <item h="1" x="1"/>
        <item h="1" x="2"/>
        <item h="1" x="3"/>
        <item x="4"/>
        <item h="1" x="5"/>
        <item h="1" x="6"/>
        <item h="1" x="7"/>
        <item h="1" x="8"/>
        <item h="1" x="9"/>
        <item h="1" x="10"/>
        <item h="1" x="0"/>
        <item t="default"/>
      </items>
    </pivotField>
    <pivotField showAll="0"/>
    <pivotField axis="axisRow" showAll="0">
      <items count="6">
        <item h="1" x="1"/>
        <item h="1" x="2"/>
        <item h="1" x="3"/>
        <item x="0"/>
        <item h="1" x="4"/>
        <item t="default"/>
      </items>
    </pivotField>
    <pivotField showAll="0">
      <items count="11">
        <item x="8"/>
        <item x="5"/>
        <item x="6"/>
        <item x="7"/>
        <item x="0"/>
        <item x="9"/>
        <item x="2"/>
        <item x="1"/>
        <item x="3"/>
        <item x="4"/>
        <item t="default"/>
      </items>
    </pivotField>
    <pivotField showAll="0"/>
    <pivotField showAll="0"/>
    <pivotField showAll="0"/>
    <pivotField showAll="0"/>
    <pivotField showAll="0"/>
    <pivotField showAll="0">
      <items count="9">
        <item x="1"/>
        <item x="5"/>
        <item x="3"/>
        <item x="6"/>
        <item x="4"/>
        <item x="7"/>
        <item x="2"/>
        <item x="0"/>
        <item t="default"/>
      </items>
    </pivotField>
    <pivotField showAll="0"/>
  </pivotFields>
  <rowFields count="1">
    <field x="9"/>
  </rowFields>
  <rowItems count="1">
    <i>
      <x v="3"/>
    </i>
  </rowItems>
  <colItems count="1">
    <i/>
  </colItems>
  <dataFields count="1">
    <dataField name="Count of Order ID" fld="1" subtotal="count" showDataAs="percentOfTotal" baseField="9" baseItem="0" numFmtId="10"/>
  </dataFields>
  <formats count="11">
    <format dxfId="126">
      <pivotArea collapsedLevelsAreSubtotals="1" fieldPosition="0">
        <references count="1">
          <reference field="9" count="0"/>
        </references>
      </pivotArea>
    </format>
    <format dxfId="125">
      <pivotArea type="all" dataOnly="0" outline="0" fieldPosition="0"/>
    </format>
    <format dxfId="124">
      <pivotArea outline="0" collapsedLevelsAreSubtotals="1" fieldPosition="0"/>
    </format>
    <format dxfId="123">
      <pivotArea field="9" type="button" dataOnly="0" labelOnly="1" outline="0" axis="axisRow" fieldPosition="0"/>
    </format>
    <format dxfId="122">
      <pivotArea dataOnly="0" labelOnly="1" fieldPosition="0">
        <references count="1">
          <reference field="9" count="0"/>
        </references>
      </pivotArea>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field="9" type="button" dataOnly="0" labelOnly="1" outline="0" axis="axisRow" fieldPosition="0"/>
    </format>
    <format dxfId="117">
      <pivotArea dataOnly="0" labelOnly="1" fieldPosition="0">
        <references count="1">
          <reference field="9" count="0"/>
        </references>
      </pivotArea>
    </format>
    <format dxfId="11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9" count="1" selected="0">
            <x v="0"/>
          </reference>
        </references>
      </pivotArea>
    </chartFormat>
    <chartFormat chart="5" format="9">
      <pivotArea type="data" outline="0" fieldPosition="0">
        <references count="2">
          <reference field="4294967294" count="1" selected="0">
            <x v="0"/>
          </reference>
          <reference field="9" count="1" selected="0">
            <x v="1"/>
          </reference>
        </references>
      </pivotArea>
    </chartFormat>
    <chartFormat chart="5" format="10">
      <pivotArea type="data" outline="0" fieldPosition="0">
        <references count="2">
          <reference field="4294967294" count="1" selected="0">
            <x v="0"/>
          </reference>
          <reference field="9" count="1" selected="0">
            <x v="2"/>
          </reference>
        </references>
      </pivotArea>
    </chartFormat>
    <chartFormat chart="5" format="11">
      <pivotArea type="data" outline="0" fieldPosition="0">
        <references count="2">
          <reference field="4294967294" count="1" selected="0">
            <x v="0"/>
          </reference>
          <reference field="9" count="1" selected="0">
            <x v="3"/>
          </reference>
        </references>
      </pivotArea>
    </chartFormat>
    <chartFormat chart="5" format="12">
      <pivotArea type="data" outline="0" fieldPosition="0">
        <references count="2">
          <reference field="4294967294" count="1" selected="0">
            <x v="0"/>
          </reference>
          <reference field="9" count="1" selected="0">
            <x v="4"/>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56D6B6D-88D2-43D3-B51A-B78723FDBA36}" sourceName="Month">
  <pivotTables>
    <pivotTable tabId="16" name="PivotTable6"/>
    <pivotTable tabId="14" name="PivotTable4"/>
    <pivotTable tabId="9" name="PivotTable5"/>
    <pivotTable tabId="12" name="PivotTable3"/>
    <pivotTable tabId="6" name="PivotTable1"/>
    <pivotTable tabId="4" name="PivotTable4"/>
  </pivotTables>
  <data>
    <tabular pivotCacheId="243902043">
      <items count="11">
        <i x="4" s="1"/>
        <i x="5"/>
        <i x="7"/>
        <i x="8"/>
        <i x="9"/>
        <i x="10"/>
        <i x="0"/>
        <i x="1" nd="1"/>
        <i x="2" nd="1"/>
        <i x="3"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s" xr10:uid="{98BEB8D8-FC4B-49E9-A200-5F3A159C772A}" sourceName="Channels">
  <pivotTables>
    <pivotTable tabId="16" name="PivotTable6"/>
    <pivotTable tabId="14" name="PivotTable4"/>
    <pivotTable tabId="9" name="PivotTable5"/>
    <pivotTable tabId="12" name="PivotTable3"/>
    <pivotTable tabId="6" name="PivotTable1"/>
    <pivotTable tabId="4" name="PivotTable4"/>
  </pivotTables>
  <data>
    <tabular pivotCacheId="243902043">
      <items count="5">
        <i x="0" s="1"/>
        <i x="1" nd="1"/>
        <i x="2" nd="1"/>
        <i x="3"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145C60-B502-4B09-82F2-F5E6707FEB64}" sourceName="Category">
  <pivotTables>
    <pivotTable tabId="16" name="PivotTable6"/>
    <pivotTable tabId="14" name="PivotTable4"/>
    <pivotTable tabId="9" name="PivotTable5"/>
    <pivotTable tabId="12" name="PivotTable3"/>
    <pivotTable tabId="6" name="PivotTable1"/>
    <pivotTable tabId="4" name="PivotTable4"/>
  </pivotTables>
  <data>
    <tabular pivotCacheId="243902043">
      <items count="10">
        <i x="0" s="1"/>
        <i x="8" s="1" nd="1"/>
        <i x="5" s="1" nd="1"/>
        <i x="6" s="1" nd="1"/>
        <i x="7" s="1" nd="1"/>
        <i x="9" s="1" nd="1"/>
        <i x="2" s="1" nd="1"/>
        <i x="1" s="1" nd="1"/>
        <i x="3"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e" xr10:uid="{CFDFAFB7-CA3B-4265-9211-B27C02052798}" sourceName="Ship-state">
  <pivotTables>
    <pivotTable tabId="16" name="PivotTable6"/>
    <pivotTable tabId="14" name="PivotTable4"/>
    <pivotTable tabId="9" name="PivotTable5"/>
    <pivotTable tabId="12" name="PivotTable3"/>
    <pivotTable tabId="6" name="PivotTable1"/>
    <pivotTable tabId="4" name="PivotTable4"/>
  </pivotTables>
  <data>
    <tabular pivotCacheId="243902043">
      <items count="8">
        <i x="0" s="1"/>
        <i x="1" s="1" nd="1"/>
        <i x="5" s="1" nd="1"/>
        <i x="3" s="1" nd="1"/>
        <i x="6" s="1" nd="1"/>
        <i x="4" s="1" nd="1"/>
        <i x="7"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D48DFEF-D234-4FA6-9D2F-385801AF29EA}" cache="Slicer_Month" caption="Month" rowHeight="241300"/>
  <slicer name="Channels" xr10:uid="{C20678DC-C748-4622-9B7A-7C421AEA7F8F}" cache="Slicer_Channels" caption="Channels" rowHeight="241300"/>
  <slicer name="Category" xr10:uid="{1B99FDFA-55CD-49EB-AE39-488E3A6CB5C4}" cache="Slicer_Category" caption="Category" rowHeight="241300"/>
  <slicer name="Ship-state" xr10:uid="{6A95EB6D-E708-47EE-A38D-70677A966C46}" cache="Slicer_Ship_state" caption="Ship-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3A6D3B-F13B-4A31-945A-2995618E7D7E}" name="Table1" displayName="Table1" ref="A1:R51" totalsRowShown="0">
  <tableColumns count="18">
    <tableColumn id="1" xr3:uid="{AB6CC1E0-CE7B-4FBA-A8EE-5AC3CFB73F6B}" name="Index "/>
    <tableColumn id="2" xr3:uid="{14E6EBAA-C236-4F6D-AE5C-A3AF5C3970CA}" name="Order ID"/>
    <tableColumn id="3" xr3:uid="{C0C73965-C553-4720-84CB-62D4B6C9A559}" name="cust. ID"/>
    <tableColumn id="4" xr3:uid="{E1A252C5-EB94-44F0-8D52-0F80F4257B5A}" name="Gender"/>
    <tableColumn id="5" xr3:uid="{F881BC64-E1B7-44B9-AA8E-BE2517246F51}" name="Age"/>
    <tableColumn id="6" xr3:uid="{385581C0-76E3-4F59-BB30-6D99C28D8A8E}" name="Age Group">
      <calculatedColumnFormula>IF(E2&gt;=50,"Senior",IF(E2&gt;=30,"Adult","Teenager"))</calculatedColumnFormula>
    </tableColumn>
    <tableColumn id="7" xr3:uid="{10BA9E22-3469-441D-BAC1-4801E0C41D97}" name="Date" dataDxfId="175"/>
    <tableColumn id="8" xr3:uid="{5BF7A870-512A-475A-86EA-23996B5A753B}" name="Month" dataDxfId="174">
      <calculatedColumnFormula>TEXT(G2,"mmm")</calculatedColumnFormula>
    </tableColumn>
    <tableColumn id="9" xr3:uid="{741F2582-B46F-4B2D-BE93-2B86C303A068}" name="Status"/>
    <tableColumn id="10" xr3:uid="{2630D7EE-CFBC-42FE-991E-3F4EF79A519F}" name="Channels"/>
    <tableColumn id="11" xr3:uid="{8DDA44F7-3093-4171-A15B-B7FF61B208DB}" name="Category"/>
    <tableColumn id="12" xr3:uid="{88EDC848-A6E0-408F-BC8F-98EFBE1AC681}" name="Size"/>
    <tableColumn id="13" xr3:uid="{D7A9E01B-8EEE-46EF-A767-BCE8510EC283}" name="Qty."/>
    <tableColumn id="14" xr3:uid="{830822D6-1611-47AE-B851-EA7AC26EB0FB}" name="Currency"/>
    <tableColumn id="15" xr3:uid="{E60E07F6-F1E9-42DF-854B-47733366E05C}" name="Amount"/>
    <tableColumn id="16" xr3:uid="{33B33FF8-5BEA-443E-A8CA-CEEB270F939B}" name="Ship-City"/>
    <tableColumn id="17" xr3:uid="{2EC56A5A-5100-469E-B8C2-550CD2F29B6B}" name="Ship-state">
      <calculatedColumnFormula array="1">_xlfn.IFS(P2="GURGAO","UP",P2="GZB","UP",P2="MOHALI","PUNJAB",P2="AMRITSAR","PUNJAB",P2="DELHI","DELHI")</calculatedColumnFormula>
    </tableColumn>
    <tableColumn id="19" xr3:uid="{AD7FCDB4-0AE8-4F89-A948-E54108F8706E}" name="Ship-Country"/>
  </tableColumns>
  <tableStyleInfo name="TableStyleMedium2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72866-04E6-48D9-A48F-AB3D7DBADEB4}">
  <dimension ref="A1:T69"/>
  <sheetViews>
    <sheetView tabSelected="1" zoomScale="102" zoomScaleNormal="185" workbookViewId="0">
      <selection activeCell="G22" sqref="G22"/>
    </sheetView>
  </sheetViews>
  <sheetFormatPr defaultRowHeight="15" x14ac:dyDescent="0.25"/>
  <cols>
    <col min="1" max="1" width="9.140625" customWidth="1"/>
    <col min="2" max="2" width="10.42578125" customWidth="1"/>
    <col min="3" max="3" width="9.42578125" customWidth="1"/>
    <col min="4" max="4" width="9.5703125" customWidth="1"/>
    <col min="5" max="5" width="9.7109375" customWidth="1"/>
    <col min="6" max="6" width="12.140625" customWidth="1"/>
    <col min="7" max="7" width="10.5703125" bestFit="1" customWidth="1"/>
    <col min="8" max="8" width="10.5703125" customWidth="1"/>
    <col min="10" max="10" width="10.140625" customWidth="1"/>
    <col min="11" max="11" width="12.85546875" customWidth="1"/>
    <col min="12" max="12" width="17.85546875" customWidth="1"/>
    <col min="14" max="14" width="10.7109375" customWidth="1"/>
    <col min="15" max="15" width="10.140625" customWidth="1"/>
    <col min="16" max="16" width="17.42578125" customWidth="1"/>
    <col min="17" max="17" width="13.42578125" customWidth="1"/>
    <col min="18" max="18" width="14.42578125" customWidth="1"/>
  </cols>
  <sheetData>
    <row r="1" spans="1:18" x14ac:dyDescent="0.25">
      <c r="A1" t="s">
        <v>0</v>
      </c>
      <c r="B1" t="s">
        <v>1</v>
      </c>
      <c r="C1" t="s">
        <v>2</v>
      </c>
      <c r="D1" t="s">
        <v>3</v>
      </c>
      <c r="E1" t="s">
        <v>4</v>
      </c>
      <c r="F1" s="2" t="s">
        <v>46</v>
      </c>
      <c r="G1" t="s">
        <v>5</v>
      </c>
      <c r="H1" s="2" t="s">
        <v>50</v>
      </c>
      <c r="I1" t="s">
        <v>6</v>
      </c>
      <c r="J1" t="s">
        <v>81</v>
      </c>
      <c r="K1" t="s">
        <v>7</v>
      </c>
      <c r="L1" t="s">
        <v>8</v>
      </c>
      <c r="M1" t="s">
        <v>9</v>
      </c>
      <c r="N1" t="s">
        <v>10</v>
      </c>
      <c r="O1" t="s">
        <v>51</v>
      </c>
      <c r="P1" t="s">
        <v>11</v>
      </c>
      <c r="Q1" s="2" t="s">
        <v>41</v>
      </c>
      <c r="R1" t="s">
        <v>44</v>
      </c>
    </row>
    <row r="2" spans="1:18" x14ac:dyDescent="0.25">
      <c r="A2">
        <v>1</v>
      </c>
      <c r="B2">
        <v>122313</v>
      </c>
      <c r="C2">
        <v>1034</v>
      </c>
      <c r="D2" t="s">
        <v>12</v>
      </c>
      <c r="E2">
        <v>44</v>
      </c>
      <c r="F2" t="s">
        <v>47</v>
      </c>
      <c r="G2" s="1">
        <v>46360</v>
      </c>
      <c r="H2" s="1" t="str">
        <f>TEXT(G2,"mmm")</f>
        <v>Dec</v>
      </c>
      <c r="I2" t="s">
        <v>14</v>
      </c>
      <c r="J2" t="s">
        <v>15</v>
      </c>
      <c r="K2" t="s">
        <v>24</v>
      </c>
      <c r="L2" t="s">
        <v>28</v>
      </c>
      <c r="M2">
        <v>7</v>
      </c>
      <c r="N2" t="s">
        <v>20</v>
      </c>
      <c r="O2">
        <v>5000</v>
      </c>
      <c r="P2" t="s">
        <v>21</v>
      </c>
      <c r="Q2" t="s">
        <v>42</v>
      </c>
      <c r="R2" t="s">
        <v>45</v>
      </c>
    </row>
    <row r="3" spans="1:18" x14ac:dyDescent="0.25">
      <c r="A3">
        <v>2</v>
      </c>
      <c r="B3">
        <v>122314</v>
      </c>
      <c r="C3">
        <v>1035</v>
      </c>
      <c r="D3" t="s">
        <v>13</v>
      </c>
      <c r="E3">
        <v>29</v>
      </c>
      <c r="F3" t="s">
        <v>48</v>
      </c>
      <c r="G3" s="1">
        <v>46360</v>
      </c>
      <c r="H3" s="1" t="str">
        <f t="shared" ref="H3:H51" si="0">TEXT(G3,"mmm")</f>
        <v>Dec</v>
      </c>
      <c r="I3" t="s">
        <v>14</v>
      </c>
      <c r="J3" t="s">
        <v>16</v>
      </c>
      <c r="K3" t="s">
        <v>25</v>
      </c>
      <c r="L3" t="s">
        <v>29</v>
      </c>
      <c r="M3">
        <v>2</v>
      </c>
      <c r="N3" t="s">
        <v>20</v>
      </c>
      <c r="O3">
        <v>1000</v>
      </c>
      <c r="P3" t="s">
        <v>22</v>
      </c>
      <c r="Q3" t="s">
        <v>42</v>
      </c>
      <c r="R3" t="s">
        <v>45</v>
      </c>
    </row>
    <row r="4" spans="1:18" x14ac:dyDescent="0.25">
      <c r="A4">
        <v>3</v>
      </c>
      <c r="B4">
        <v>122315</v>
      </c>
      <c r="C4">
        <v>1036</v>
      </c>
      <c r="D4" t="s">
        <v>13</v>
      </c>
      <c r="E4">
        <v>34</v>
      </c>
      <c r="F4" t="s">
        <v>47</v>
      </c>
      <c r="G4" s="1">
        <v>46028</v>
      </c>
      <c r="H4" s="1" t="str">
        <f t="shared" si="0"/>
        <v>Jan</v>
      </c>
      <c r="I4" t="s">
        <v>14</v>
      </c>
      <c r="J4" t="s">
        <v>17</v>
      </c>
      <c r="K4" t="s">
        <v>26</v>
      </c>
      <c r="L4" t="s">
        <v>30</v>
      </c>
      <c r="M4">
        <v>2</v>
      </c>
      <c r="N4" t="s">
        <v>20</v>
      </c>
      <c r="O4">
        <v>1234</v>
      </c>
      <c r="P4" t="s">
        <v>72</v>
      </c>
      <c r="Q4" t="s">
        <v>74</v>
      </c>
      <c r="R4" t="s">
        <v>45</v>
      </c>
    </row>
    <row r="5" spans="1:18" x14ac:dyDescent="0.25">
      <c r="A5">
        <v>4</v>
      </c>
      <c r="B5">
        <v>122316</v>
      </c>
      <c r="C5">
        <v>1037</v>
      </c>
      <c r="D5" t="s">
        <v>12</v>
      </c>
      <c r="E5">
        <v>23</v>
      </c>
      <c r="F5" t="s">
        <v>48</v>
      </c>
      <c r="G5" s="1">
        <v>46057</v>
      </c>
      <c r="H5" s="1" t="str">
        <f t="shared" si="0"/>
        <v>Feb</v>
      </c>
      <c r="I5" t="s">
        <v>14</v>
      </c>
      <c r="J5" t="s">
        <v>18</v>
      </c>
      <c r="K5" t="s">
        <v>24</v>
      </c>
      <c r="L5" t="s">
        <v>39</v>
      </c>
      <c r="M5">
        <v>1</v>
      </c>
      <c r="N5" t="s">
        <v>20</v>
      </c>
      <c r="O5">
        <v>200</v>
      </c>
      <c r="P5" t="s">
        <v>40</v>
      </c>
      <c r="Q5" t="s">
        <v>43</v>
      </c>
      <c r="R5" t="s">
        <v>45</v>
      </c>
    </row>
    <row r="6" spans="1:18" x14ac:dyDescent="0.25">
      <c r="A6">
        <v>5</v>
      </c>
      <c r="B6">
        <v>122317</v>
      </c>
      <c r="C6">
        <v>1038</v>
      </c>
      <c r="D6" t="s">
        <v>13</v>
      </c>
      <c r="E6">
        <v>18</v>
      </c>
      <c r="F6" t="s">
        <v>48</v>
      </c>
      <c r="G6" s="1">
        <v>46085</v>
      </c>
      <c r="H6" s="1" t="str">
        <f t="shared" si="0"/>
        <v>Mar</v>
      </c>
      <c r="I6" t="s">
        <v>14</v>
      </c>
      <c r="J6" t="s">
        <v>19</v>
      </c>
      <c r="K6" t="s">
        <v>27</v>
      </c>
      <c r="L6" t="s">
        <v>37</v>
      </c>
      <c r="M6">
        <v>6</v>
      </c>
      <c r="N6" t="s">
        <v>20</v>
      </c>
      <c r="O6">
        <v>6000</v>
      </c>
      <c r="P6" t="s">
        <v>78</v>
      </c>
      <c r="Q6" t="s">
        <v>23</v>
      </c>
      <c r="R6" t="s">
        <v>45</v>
      </c>
    </row>
    <row r="7" spans="1:18" x14ac:dyDescent="0.25">
      <c r="A7">
        <v>6</v>
      </c>
      <c r="B7">
        <v>122318</v>
      </c>
      <c r="C7">
        <v>1039</v>
      </c>
      <c r="D7" t="s">
        <v>13</v>
      </c>
      <c r="E7">
        <v>25</v>
      </c>
      <c r="F7" t="s">
        <v>48</v>
      </c>
      <c r="G7" s="1">
        <v>46116</v>
      </c>
      <c r="H7" s="1" t="str">
        <f t="shared" si="0"/>
        <v>Apr</v>
      </c>
      <c r="I7" t="s">
        <v>64</v>
      </c>
      <c r="J7" t="s">
        <v>15</v>
      </c>
      <c r="K7" t="s">
        <v>24</v>
      </c>
      <c r="L7" t="s">
        <v>28</v>
      </c>
      <c r="M7">
        <v>1</v>
      </c>
      <c r="N7" t="s">
        <v>20</v>
      </c>
      <c r="O7">
        <v>265</v>
      </c>
      <c r="P7" t="s">
        <v>21</v>
      </c>
      <c r="Q7" t="s">
        <v>42</v>
      </c>
      <c r="R7" t="s">
        <v>45</v>
      </c>
    </row>
    <row r="8" spans="1:18" x14ac:dyDescent="0.25">
      <c r="A8">
        <v>7</v>
      </c>
      <c r="B8">
        <v>122319</v>
      </c>
      <c r="C8">
        <v>1040</v>
      </c>
      <c r="D8" t="s">
        <v>13</v>
      </c>
      <c r="E8">
        <v>65</v>
      </c>
      <c r="F8" t="s">
        <v>49</v>
      </c>
      <c r="G8" s="1">
        <v>46146</v>
      </c>
      <c r="H8" s="1" t="str">
        <f t="shared" si="0"/>
        <v>May</v>
      </c>
      <c r="I8" t="s">
        <v>14</v>
      </c>
      <c r="J8" t="s">
        <v>15</v>
      </c>
      <c r="K8" t="s">
        <v>26</v>
      </c>
      <c r="L8" t="s">
        <v>29</v>
      </c>
      <c r="M8">
        <v>1</v>
      </c>
      <c r="N8" t="s">
        <v>20</v>
      </c>
      <c r="O8">
        <v>354</v>
      </c>
      <c r="P8" t="s">
        <v>22</v>
      </c>
      <c r="Q8" t="s">
        <v>42</v>
      </c>
      <c r="R8" t="s">
        <v>45</v>
      </c>
    </row>
    <row r="9" spans="1:18" x14ac:dyDescent="0.25">
      <c r="A9">
        <v>8</v>
      </c>
      <c r="B9">
        <v>122320</v>
      </c>
      <c r="C9">
        <v>1041</v>
      </c>
      <c r="D9" t="s">
        <v>12</v>
      </c>
      <c r="E9">
        <v>45</v>
      </c>
      <c r="F9" t="s">
        <v>47</v>
      </c>
      <c r="G9" s="1">
        <v>46177</v>
      </c>
      <c r="H9" s="1" t="str">
        <f t="shared" si="0"/>
        <v>Jun</v>
      </c>
      <c r="I9" t="s">
        <v>14</v>
      </c>
      <c r="J9" t="s">
        <v>16</v>
      </c>
      <c r="K9" t="s">
        <v>26</v>
      </c>
      <c r="L9" t="s">
        <v>37</v>
      </c>
      <c r="M9" t="s">
        <v>79</v>
      </c>
      <c r="N9" t="s">
        <v>20</v>
      </c>
      <c r="O9">
        <v>345</v>
      </c>
      <c r="P9" t="s">
        <v>78</v>
      </c>
      <c r="Q9" t="s">
        <v>23</v>
      </c>
      <c r="R9" t="s">
        <v>45</v>
      </c>
    </row>
    <row r="10" spans="1:18" x14ac:dyDescent="0.25">
      <c r="A10">
        <v>9</v>
      </c>
      <c r="B10">
        <v>122321</v>
      </c>
      <c r="C10">
        <v>1042</v>
      </c>
      <c r="D10" t="s">
        <v>13</v>
      </c>
      <c r="E10">
        <v>34</v>
      </c>
      <c r="F10" t="s">
        <v>47</v>
      </c>
      <c r="G10" s="1">
        <v>46207</v>
      </c>
      <c r="H10" s="1" t="str">
        <f t="shared" si="0"/>
        <v>Jul</v>
      </c>
      <c r="I10" t="s">
        <v>64</v>
      </c>
      <c r="J10" t="s">
        <v>17</v>
      </c>
      <c r="K10" t="s">
        <v>26</v>
      </c>
      <c r="L10" t="s">
        <v>39</v>
      </c>
      <c r="M10">
        <v>1</v>
      </c>
      <c r="N10" t="s">
        <v>20</v>
      </c>
      <c r="O10">
        <v>2000</v>
      </c>
      <c r="P10" t="s">
        <v>67</v>
      </c>
      <c r="Q10" t="s">
        <v>68</v>
      </c>
      <c r="R10" t="s">
        <v>45</v>
      </c>
    </row>
    <row r="11" spans="1:18" x14ac:dyDescent="0.25">
      <c r="A11">
        <v>10</v>
      </c>
      <c r="B11">
        <v>122322</v>
      </c>
      <c r="C11">
        <v>1043</v>
      </c>
      <c r="D11" t="s">
        <v>13</v>
      </c>
      <c r="E11">
        <v>22</v>
      </c>
      <c r="F11" t="s">
        <v>48</v>
      </c>
      <c r="G11" s="1">
        <v>46207</v>
      </c>
      <c r="H11" s="1" t="str">
        <f t="shared" si="0"/>
        <v>Jul</v>
      </c>
      <c r="I11" t="s">
        <v>64</v>
      </c>
      <c r="J11" t="s">
        <v>18</v>
      </c>
      <c r="K11" t="s">
        <v>24</v>
      </c>
      <c r="L11" t="s">
        <v>30</v>
      </c>
      <c r="M11">
        <v>1</v>
      </c>
      <c r="N11" t="s">
        <v>20</v>
      </c>
      <c r="O11">
        <v>345</v>
      </c>
      <c r="P11" t="s">
        <v>72</v>
      </c>
      <c r="Q11" t="s">
        <v>74</v>
      </c>
      <c r="R11" t="s">
        <v>45</v>
      </c>
    </row>
    <row r="12" spans="1:18" x14ac:dyDescent="0.25">
      <c r="A12">
        <v>11</v>
      </c>
      <c r="B12">
        <v>122323</v>
      </c>
      <c r="C12">
        <v>1044</v>
      </c>
      <c r="D12" t="s">
        <v>13</v>
      </c>
      <c r="E12">
        <v>26</v>
      </c>
      <c r="F12" t="s">
        <v>48</v>
      </c>
      <c r="G12" s="1">
        <v>46207</v>
      </c>
      <c r="H12" s="1" t="str">
        <f t="shared" si="0"/>
        <v>Jul</v>
      </c>
      <c r="I12" t="s">
        <v>14</v>
      </c>
      <c r="J12" t="s">
        <v>19</v>
      </c>
      <c r="K12" t="s">
        <v>25</v>
      </c>
      <c r="L12" t="s">
        <v>28</v>
      </c>
      <c r="M12">
        <v>1</v>
      </c>
      <c r="N12" t="s">
        <v>20</v>
      </c>
      <c r="O12">
        <v>254</v>
      </c>
      <c r="P12" t="s">
        <v>21</v>
      </c>
      <c r="Q12" t="s">
        <v>42</v>
      </c>
      <c r="R12" t="s">
        <v>45</v>
      </c>
    </row>
    <row r="13" spans="1:18" x14ac:dyDescent="0.25">
      <c r="A13">
        <v>12</v>
      </c>
      <c r="B13">
        <v>122324</v>
      </c>
      <c r="C13">
        <v>1045</v>
      </c>
      <c r="D13" t="s">
        <v>12</v>
      </c>
      <c r="E13">
        <v>36</v>
      </c>
      <c r="F13" t="s">
        <v>47</v>
      </c>
      <c r="G13" s="1">
        <v>46207</v>
      </c>
      <c r="H13" s="1" t="str">
        <f t="shared" si="0"/>
        <v>Jul</v>
      </c>
      <c r="I13" t="s">
        <v>14</v>
      </c>
      <c r="J13" t="s">
        <v>15</v>
      </c>
      <c r="K13" t="s">
        <v>26</v>
      </c>
      <c r="L13" t="s">
        <v>29</v>
      </c>
      <c r="M13">
        <v>1</v>
      </c>
      <c r="N13" t="s">
        <v>20</v>
      </c>
      <c r="O13">
        <v>234</v>
      </c>
      <c r="P13" t="s">
        <v>22</v>
      </c>
      <c r="Q13" t="s">
        <v>42</v>
      </c>
      <c r="R13" t="s">
        <v>45</v>
      </c>
    </row>
    <row r="14" spans="1:18" x14ac:dyDescent="0.25">
      <c r="A14">
        <v>13</v>
      </c>
      <c r="B14">
        <v>122325</v>
      </c>
      <c r="C14">
        <v>1046</v>
      </c>
      <c r="D14" t="s">
        <v>12</v>
      </c>
      <c r="E14">
        <v>30</v>
      </c>
      <c r="F14" t="s">
        <v>47</v>
      </c>
      <c r="G14" s="1">
        <v>46207</v>
      </c>
      <c r="H14" s="1" t="str">
        <f t="shared" si="0"/>
        <v>Jul</v>
      </c>
      <c r="I14" t="s">
        <v>14</v>
      </c>
      <c r="J14" t="s">
        <v>15</v>
      </c>
      <c r="K14" t="s">
        <v>24</v>
      </c>
      <c r="L14" t="s">
        <v>37</v>
      </c>
      <c r="M14">
        <v>1</v>
      </c>
      <c r="N14" t="s">
        <v>20</v>
      </c>
      <c r="O14">
        <v>543</v>
      </c>
      <c r="P14" t="s">
        <v>78</v>
      </c>
      <c r="Q14" t="s">
        <v>23</v>
      </c>
      <c r="R14" t="s">
        <v>45</v>
      </c>
    </row>
    <row r="15" spans="1:18" x14ac:dyDescent="0.25">
      <c r="A15">
        <v>14</v>
      </c>
      <c r="B15">
        <v>122326</v>
      </c>
      <c r="C15">
        <v>1047</v>
      </c>
      <c r="D15" t="s">
        <v>13</v>
      </c>
      <c r="E15">
        <v>28</v>
      </c>
      <c r="F15" t="s">
        <v>48</v>
      </c>
      <c r="G15" s="1">
        <v>46238</v>
      </c>
      <c r="H15" s="1" t="str">
        <f t="shared" si="0"/>
        <v>Aug</v>
      </c>
      <c r="I15" t="s">
        <v>14</v>
      </c>
      <c r="J15" t="s">
        <v>16</v>
      </c>
      <c r="K15" t="s">
        <v>31</v>
      </c>
      <c r="L15" t="s">
        <v>38</v>
      </c>
      <c r="M15">
        <v>1</v>
      </c>
      <c r="N15" t="s">
        <v>20</v>
      </c>
      <c r="O15">
        <v>654</v>
      </c>
      <c r="P15" t="s">
        <v>71</v>
      </c>
      <c r="Q15" t="s">
        <v>43</v>
      </c>
      <c r="R15" t="s">
        <v>45</v>
      </c>
    </row>
    <row r="16" spans="1:18" x14ac:dyDescent="0.25">
      <c r="A16">
        <v>15</v>
      </c>
      <c r="B16">
        <v>122327</v>
      </c>
      <c r="C16">
        <v>1048</v>
      </c>
      <c r="D16" t="s">
        <v>13</v>
      </c>
      <c r="E16">
        <v>24</v>
      </c>
      <c r="F16" t="s">
        <v>48</v>
      </c>
      <c r="G16" s="1">
        <v>46238</v>
      </c>
      <c r="H16" s="1" t="str">
        <f t="shared" si="0"/>
        <v>Aug</v>
      </c>
      <c r="I16" t="s">
        <v>14</v>
      </c>
      <c r="J16" t="s">
        <v>17</v>
      </c>
      <c r="K16" t="s">
        <v>24</v>
      </c>
      <c r="L16" t="s">
        <v>30</v>
      </c>
      <c r="M16">
        <v>2</v>
      </c>
      <c r="N16" t="s">
        <v>20</v>
      </c>
      <c r="O16">
        <v>643</v>
      </c>
      <c r="P16" t="s">
        <v>73</v>
      </c>
      <c r="Q16" t="s">
        <v>75</v>
      </c>
      <c r="R16" t="s">
        <v>45</v>
      </c>
    </row>
    <row r="17" spans="1:18" x14ac:dyDescent="0.25">
      <c r="A17">
        <v>16</v>
      </c>
      <c r="B17">
        <v>122328</v>
      </c>
      <c r="C17">
        <v>1049</v>
      </c>
      <c r="D17" t="s">
        <v>13</v>
      </c>
      <c r="E17">
        <v>22</v>
      </c>
      <c r="F17" t="s">
        <v>48</v>
      </c>
      <c r="G17" s="1">
        <v>46238</v>
      </c>
      <c r="H17" s="1" t="str">
        <f t="shared" si="0"/>
        <v>Aug</v>
      </c>
      <c r="I17" t="s">
        <v>14</v>
      </c>
      <c r="J17" t="s">
        <v>18</v>
      </c>
      <c r="K17" t="s">
        <v>26</v>
      </c>
      <c r="L17" t="s">
        <v>28</v>
      </c>
      <c r="M17">
        <v>1</v>
      </c>
      <c r="N17" t="s">
        <v>20</v>
      </c>
      <c r="O17">
        <v>1001</v>
      </c>
      <c r="P17" t="s">
        <v>21</v>
      </c>
      <c r="Q17" t="s">
        <v>42</v>
      </c>
      <c r="R17" t="s">
        <v>45</v>
      </c>
    </row>
    <row r="18" spans="1:18" x14ac:dyDescent="0.25">
      <c r="A18">
        <v>17</v>
      </c>
      <c r="B18">
        <v>122329</v>
      </c>
      <c r="C18">
        <v>1050</v>
      </c>
      <c r="D18" t="s">
        <v>12</v>
      </c>
      <c r="E18">
        <v>23</v>
      </c>
      <c r="F18" t="s">
        <v>48</v>
      </c>
      <c r="G18" s="1">
        <v>46238</v>
      </c>
      <c r="H18" s="1" t="str">
        <f t="shared" si="0"/>
        <v>Aug</v>
      </c>
      <c r="I18" t="s">
        <v>14</v>
      </c>
      <c r="J18" t="s">
        <v>19</v>
      </c>
      <c r="K18" t="s">
        <v>26</v>
      </c>
      <c r="L18" t="s">
        <v>29</v>
      </c>
      <c r="M18">
        <v>1</v>
      </c>
      <c r="N18" t="s">
        <v>20</v>
      </c>
      <c r="O18">
        <v>300</v>
      </c>
      <c r="P18" t="s">
        <v>22</v>
      </c>
      <c r="Q18" t="s">
        <v>42</v>
      </c>
      <c r="R18" t="s">
        <v>45</v>
      </c>
    </row>
    <row r="19" spans="1:18" x14ac:dyDescent="0.25">
      <c r="A19">
        <v>18</v>
      </c>
      <c r="B19">
        <v>122330</v>
      </c>
      <c r="C19">
        <v>1051</v>
      </c>
      <c r="D19" t="s">
        <v>13</v>
      </c>
      <c r="E19">
        <v>45</v>
      </c>
      <c r="F19" t="s">
        <v>47</v>
      </c>
      <c r="G19" s="1">
        <v>46238</v>
      </c>
      <c r="H19" s="1" t="str">
        <f t="shared" si="0"/>
        <v>Aug</v>
      </c>
      <c r="I19" t="s">
        <v>14</v>
      </c>
      <c r="J19" t="s">
        <v>15</v>
      </c>
      <c r="K19" t="s">
        <v>26</v>
      </c>
      <c r="L19" t="s">
        <v>30</v>
      </c>
      <c r="M19">
        <v>1</v>
      </c>
      <c r="N19" t="s">
        <v>20</v>
      </c>
      <c r="O19">
        <v>302</v>
      </c>
      <c r="P19" t="s">
        <v>78</v>
      </c>
      <c r="Q19" t="s">
        <v>23</v>
      </c>
      <c r="R19" t="s">
        <v>45</v>
      </c>
    </row>
    <row r="20" spans="1:18" x14ac:dyDescent="0.25">
      <c r="A20">
        <v>19</v>
      </c>
      <c r="B20">
        <v>122331</v>
      </c>
      <c r="C20">
        <v>1052</v>
      </c>
      <c r="D20" t="s">
        <v>13</v>
      </c>
      <c r="E20">
        <v>34</v>
      </c>
      <c r="F20" t="s">
        <v>47</v>
      </c>
      <c r="G20" s="1">
        <v>46238</v>
      </c>
      <c r="H20" s="1" t="str">
        <f t="shared" si="0"/>
        <v>Aug</v>
      </c>
      <c r="I20" t="s">
        <v>14</v>
      </c>
      <c r="J20" t="s">
        <v>15</v>
      </c>
      <c r="K20" t="s">
        <v>24</v>
      </c>
      <c r="L20" t="s">
        <v>38</v>
      </c>
      <c r="M20">
        <v>1</v>
      </c>
      <c r="N20" t="s">
        <v>20</v>
      </c>
      <c r="O20">
        <v>357</v>
      </c>
      <c r="P20" t="s">
        <v>67</v>
      </c>
      <c r="Q20" t="s">
        <v>68</v>
      </c>
      <c r="R20" t="s">
        <v>45</v>
      </c>
    </row>
    <row r="21" spans="1:18" x14ac:dyDescent="0.25">
      <c r="A21">
        <v>20</v>
      </c>
      <c r="B21">
        <v>122332</v>
      </c>
      <c r="C21">
        <v>1053</v>
      </c>
      <c r="D21" t="s">
        <v>12</v>
      </c>
      <c r="E21">
        <v>21</v>
      </c>
      <c r="F21" t="s">
        <v>48</v>
      </c>
      <c r="G21" s="1">
        <v>46238</v>
      </c>
      <c r="H21" s="1" t="str">
        <f t="shared" si="0"/>
        <v>Aug</v>
      </c>
      <c r="I21" t="s">
        <v>14</v>
      </c>
      <c r="J21" t="s">
        <v>16</v>
      </c>
      <c r="K21" t="s">
        <v>25</v>
      </c>
      <c r="L21" t="s">
        <v>37</v>
      </c>
      <c r="M21">
        <v>1</v>
      </c>
      <c r="N21" t="s">
        <v>20</v>
      </c>
      <c r="O21">
        <v>400</v>
      </c>
      <c r="P21" t="s">
        <v>73</v>
      </c>
      <c r="Q21" t="s">
        <v>75</v>
      </c>
      <c r="R21" t="s">
        <v>45</v>
      </c>
    </row>
    <row r="22" spans="1:18" x14ac:dyDescent="0.25">
      <c r="A22">
        <v>21</v>
      </c>
      <c r="B22">
        <v>122333</v>
      </c>
      <c r="C22">
        <v>1054</v>
      </c>
      <c r="D22" t="s">
        <v>12</v>
      </c>
      <c r="E22">
        <v>23</v>
      </c>
      <c r="F22" t="s">
        <v>48</v>
      </c>
      <c r="G22" s="1">
        <v>46238</v>
      </c>
      <c r="H22" s="1" t="str">
        <f t="shared" si="0"/>
        <v>Aug</v>
      </c>
      <c r="I22" t="s">
        <v>14</v>
      </c>
      <c r="J22" t="s">
        <v>17</v>
      </c>
      <c r="K22" t="s">
        <v>26</v>
      </c>
      <c r="L22" t="s">
        <v>28</v>
      </c>
      <c r="M22">
        <v>1</v>
      </c>
      <c r="N22" t="s">
        <v>20</v>
      </c>
      <c r="O22">
        <v>421</v>
      </c>
      <c r="P22" t="s">
        <v>21</v>
      </c>
      <c r="Q22" t="s">
        <v>42</v>
      </c>
      <c r="R22" t="s">
        <v>45</v>
      </c>
    </row>
    <row r="23" spans="1:18" x14ac:dyDescent="0.25">
      <c r="A23">
        <v>22</v>
      </c>
      <c r="B23">
        <v>122334</v>
      </c>
      <c r="C23">
        <v>1055</v>
      </c>
      <c r="D23" t="s">
        <v>13</v>
      </c>
      <c r="E23">
        <v>23</v>
      </c>
      <c r="F23" t="s">
        <v>48</v>
      </c>
      <c r="G23" s="1">
        <v>46238</v>
      </c>
      <c r="H23" s="1" t="str">
        <f t="shared" si="0"/>
        <v>Aug</v>
      </c>
      <c r="I23" t="s">
        <v>14</v>
      </c>
      <c r="J23" t="s">
        <v>18</v>
      </c>
      <c r="K23" t="s">
        <v>24</v>
      </c>
      <c r="L23" t="s">
        <v>29</v>
      </c>
      <c r="M23">
        <v>1</v>
      </c>
      <c r="N23" t="s">
        <v>20</v>
      </c>
      <c r="O23">
        <v>352</v>
      </c>
      <c r="P23" t="s">
        <v>22</v>
      </c>
      <c r="Q23" t="s">
        <v>42</v>
      </c>
      <c r="R23" t="s">
        <v>45</v>
      </c>
    </row>
    <row r="24" spans="1:18" x14ac:dyDescent="0.25">
      <c r="A24">
        <v>23</v>
      </c>
      <c r="B24">
        <v>122335</v>
      </c>
      <c r="C24">
        <v>1056</v>
      </c>
      <c r="D24" t="s">
        <v>13</v>
      </c>
      <c r="E24">
        <v>24</v>
      </c>
      <c r="F24" t="s">
        <v>48</v>
      </c>
      <c r="G24" s="1">
        <v>46238</v>
      </c>
      <c r="H24" s="1" t="str">
        <f t="shared" si="0"/>
        <v>Aug</v>
      </c>
      <c r="I24" t="s">
        <v>14</v>
      </c>
      <c r="J24" t="s">
        <v>19</v>
      </c>
      <c r="K24" t="s">
        <v>31</v>
      </c>
      <c r="L24" t="s">
        <v>30</v>
      </c>
      <c r="M24">
        <v>1</v>
      </c>
      <c r="N24" t="s">
        <v>20</v>
      </c>
      <c r="O24">
        <v>542</v>
      </c>
      <c r="P24" t="s">
        <v>78</v>
      </c>
      <c r="Q24" t="s">
        <v>23</v>
      </c>
      <c r="R24" t="s">
        <v>45</v>
      </c>
    </row>
    <row r="25" spans="1:18" x14ac:dyDescent="0.25">
      <c r="A25">
        <v>24</v>
      </c>
      <c r="B25">
        <v>122336</v>
      </c>
      <c r="C25">
        <v>1057</v>
      </c>
      <c r="D25" t="s">
        <v>12</v>
      </c>
      <c r="E25">
        <v>27</v>
      </c>
      <c r="F25" t="s">
        <v>48</v>
      </c>
      <c r="G25" s="1">
        <v>46238</v>
      </c>
      <c r="H25" s="1" t="str">
        <f t="shared" si="0"/>
        <v>Aug</v>
      </c>
      <c r="I25" t="s">
        <v>14</v>
      </c>
      <c r="J25" t="s">
        <v>15</v>
      </c>
      <c r="K25" t="s">
        <v>24</v>
      </c>
      <c r="L25" t="s">
        <v>39</v>
      </c>
      <c r="M25">
        <v>1</v>
      </c>
      <c r="N25" t="s">
        <v>20</v>
      </c>
      <c r="O25">
        <v>342</v>
      </c>
      <c r="P25" t="s">
        <v>40</v>
      </c>
      <c r="Q25" t="s">
        <v>43</v>
      </c>
      <c r="R25" t="s">
        <v>45</v>
      </c>
    </row>
    <row r="26" spans="1:18" x14ac:dyDescent="0.25">
      <c r="A26">
        <v>25</v>
      </c>
      <c r="B26">
        <v>122337</v>
      </c>
      <c r="C26">
        <v>1058</v>
      </c>
      <c r="D26" t="s">
        <v>12</v>
      </c>
      <c r="E26">
        <v>63</v>
      </c>
      <c r="F26" t="s">
        <v>49</v>
      </c>
      <c r="G26" s="1">
        <v>46269</v>
      </c>
      <c r="H26" s="1" t="str">
        <f t="shared" si="0"/>
        <v>Sep</v>
      </c>
      <c r="I26" t="s">
        <v>14</v>
      </c>
      <c r="J26" t="s">
        <v>15</v>
      </c>
      <c r="K26" t="s">
        <v>26</v>
      </c>
      <c r="L26" t="s">
        <v>37</v>
      </c>
      <c r="M26">
        <v>1</v>
      </c>
      <c r="N26" t="s">
        <v>20</v>
      </c>
      <c r="O26">
        <v>342</v>
      </c>
      <c r="P26" t="s">
        <v>78</v>
      </c>
      <c r="Q26" t="s">
        <v>23</v>
      </c>
      <c r="R26" t="s">
        <v>45</v>
      </c>
    </row>
    <row r="27" spans="1:18" x14ac:dyDescent="0.25">
      <c r="A27">
        <v>26</v>
      </c>
      <c r="B27">
        <v>122338</v>
      </c>
      <c r="C27">
        <v>1059</v>
      </c>
      <c r="D27" t="s">
        <v>13</v>
      </c>
      <c r="E27">
        <v>23</v>
      </c>
      <c r="F27" t="s">
        <v>48</v>
      </c>
      <c r="G27" s="1">
        <v>46269</v>
      </c>
      <c r="H27" s="1" t="str">
        <f t="shared" si="0"/>
        <v>Sep</v>
      </c>
      <c r="I27" t="s">
        <v>14</v>
      </c>
      <c r="J27" t="s">
        <v>16</v>
      </c>
      <c r="K27" t="s">
        <v>26</v>
      </c>
      <c r="L27" t="s">
        <v>28</v>
      </c>
      <c r="M27">
        <v>1</v>
      </c>
      <c r="N27" t="s">
        <v>20</v>
      </c>
      <c r="O27">
        <v>126</v>
      </c>
      <c r="P27" t="s">
        <v>21</v>
      </c>
      <c r="Q27" t="s">
        <v>42</v>
      </c>
      <c r="R27" t="s">
        <v>45</v>
      </c>
    </row>
    <row r="28" spans="1:18" x14ac:dyDescent="0.25">
      <c r="A28">
        <v>27</v>
      </c>
      <c r="B28">
        <v>122339</v>
      </c>
      <c r="C28">
        <v>1060</v>
      </c>
      <c r="D28" t="s">
        <v>13</v>
      </c>
      <c r="E28">
        <v>34</v>
      </c>
      <c r="F28" t="str">
        <f t="shared" ref="F28:F51" si="1">IF(E28&gt;=50,"Senior",IF(E28&gt;=30,"Adult","Teenager"))</f>
        <v>Adult</v>
      </c>
      <c r="G28" s="1">
        <v>46269</v>
      </c>
      <c r="H28" s="1" t="str">
        <f t="shared" si="0"/>
        <v>Sep</v>
      </c>
      <c r="I28" t="s">
        <v>14</v>
      </c>
      <c r="J28" t="s">
        <v>17</v>
      </c>
      <c r="K28" t="s">
        <v>26</v>
      </c>
      <c r="L28" t="s">
        <v>29</v>
      </c>
      <c r="M28">
        <v>1</v>
      </c>
      <c r="N28" t="s">
        <v>20</v>
      </c>
      <c r="O28">
        <v>712</v>
      </c>
      <c r="P28" t="s">
        <v>22</v>
      </c>
      <c r="Q28" t="s">
        <v>42</v>
      </c>
      <c r="R28" t="s">
        <v>45</v>
      </c>
    </row>
    <row r="29" spans="1:18" x14ac:dyDescent="0.25">
      <c r="A29">
        <v>28</v>
      </c>
      <c r="B29">
        <v>122340</v>
      </c>
      <c r="C29">
        <v>1061</v>
      </c>
      <c r="D29" t="s">
        <v>12</v>
      </c>
      <c r="E29">
        <v>26</v>
      </c>
      <c r="F29" t="str">
        <f t="shared" si="1"/>
        <v>Teenager</v>
      </c>
      <c r="G29" s="1">
        <v>46269</v>
      </c>
      <c r="H29" s="1" t="str">
        <f t="shared" si="0"/>
        <v>Sep</v>
      </c>
      <c r="I29" t="s">
        <v>62</v>
      </c>
      <c r="J29" t="s">
        <v>18</v>
      </c>
      <c r="K29" t="s">
        <v>24</v>
      </c>
      <c r="L29" t="s">
        <v>37</v>
      </c>
      <c r="M29">
        <v>1</v>
      </c>
      <c r="N29" t="s">
        <v>20</v>
      </c>
      <c r="O29">
        <v>713</v>
      </c>
      <c r="P29" t="s">
        <v>78</v>
      </c>
      <c r="Q29" t="s">
        <v>23</v>
      </c>
      <c r="R29" t="s">
        <v>45</v>
      </c>
    </row>
    <row r="30" spans="1:18" x14ac:dyDescent="0.25">
      <c r="A30">
        <v>29</v>
      </c>
      <c r="B30">
        <v>122341</v>
      </c>
      <c r="C30">
        <v>1062</v>
      </c>
      <c r="D30" t="s">
        <v>12</v>
      </c>
      <c r="E30">
        <v>27</v>
      </c>
      <c r="F30" t="str">
        <f t="shared" si="1"/>
        <v>Teenager</v>
      </c>
      <c r="G30" s="1">
        <v>46269</v>
      </c>
      <c r="H30" s="1" t="str">
        <f t="shared" si="0"/>
        <v>Sep</v>
      </c>
      <c r="I30" t="s">
        <v>14</v>
      </c>
      <c r="J30" t="s">
        <v>19</v>
      </c>
      <c r="K30" t="s">
        <v>25</v>
      </c>
      <c r="L30" t="s">
        <v>39</v>
      </c>
      <c r="M30">
        <v>1</v>
      </c>
      <c r="N30" t="s">
        <v>20</v>
      </c>
      <c r="O30">
        <v>714</v>
      </c>
      <c r="P30" t="s">
        <v>67</v>
      </c>
      <c r="Q30" t="s">
        <v>68</v>
      </c>
      <c r="R30" t="s">
        <v>45</v>
      </c>
    </row>
    <row r="31" spans="1:18" x14ac:dyDescent="0.25">
      <c r="A31">
        <v>30</v>
      </c>
      <c r="B31">
        <v>122342</v>
      </c>
      <c r="C31">
        <v>1063</v>
      </c>
      <c r="D31" t="s">
        <v>13</v>
      </c>
      <c r="E31">
        <v>28</v>
      </c>
      <c r="F31" t="str">
        <f t="shared" si="1"/>
        <v>Teenager</v>
      </c>
      <c r="G31" s="1">
        <v>46269</v>
      </c>
      <c r="H31" s="1" t="str">
        <f t="shared" si="0"/>
        <v>Sep</v>
      </c>
      <c r="I31" t="s">
        <v>14</v>
      </c>
      <c r="J31" t="s">
        <v>15</v>
      </c>
      <c r="K31" t="s">
        <v>26</v>
      </c>
      <c r="L31" t="s">
        <v>30</v>
      </c>
      <c r="M31">
        <v>1</v>
      </c>
      <c r="N31" t="s">
        <v>20</v>
      </c>
      <c r="O31">
        <v>715</v>
      </c>
      <c r="P31" t="s">
        <v>78</v>
      </c>
      <c r="Q31" t="s">
        <v>23</v>
      </c>
      <c r="R31" t="s">
        <v>45</v>
      </c>
    </row>
    <row r="32" spans="1:18" x14ac:dyDescent="0.25">
      <c r="A32">
        <v>31</v>
      </c>
      <c r="B32">
        <v>122343</v>
      </c>
      <c r="C32">
        <v>1064</v>
      </c>
      <c r="D32" t="s">
        <v>13</v>
      </c>
      <c r="E32">
        <v>29</v>
      </c>
      <c r="F32" t="str">
        <f t="shared" si="1"/>
        <v>Teenager</v>
      </c>
      <c r="G32" s="1">
        <v>46269</v>
      </c>
      <c r="H32" s="1" t="str">
        <f t="shared" si="0"/>
        <v>Sep</v>
      </c>
      <c r="I32" t="s">
        <v>14</v>
      </c>
      <c r="J32" t="s">
        <v>15</v>
      </c>
      <c r="K32" t="s">
        <v>24</v>
      </c>
      <c r="L32" t="s">
        <v>28</v>
      </c>
      <c r="M32">
        <v>1</v>
      </c>
      <c r="N32" t="s">
        <v>20</v>
      </c>
      <c r="O32">
        <v>716</v>
      </c>
      <c r="P32" t="s">
        <v>21</v>
      </c>
      <c r="Q32" t="s">
        <v>42</v>
      </c>
      <c r="R32" t="s">
        <v>45</v>
      </c>
    </row>
    <row r="33" spans="1:18" x14ac:dyDescent="0.25">
      <c r="A33">
        <v>32</v>
      </c>
      <c r="B33">
        <v>122344</v>
      </c>
      <c r="C33">
        <v>1065</v>
      </c>
      <c r="D33" t="s">
        <v>12</v>
      </c>
      <c r="E33">
        <v>15</v>
      </c>
      <c r="F33" t="str">
        <f t="shared" si="1"/>
        <v>Teenager</v>
      </c>
      <c r="G33" s="1">
        <v>46269</v>
      </c>
      <c r="H33" s="1" t="str">
        <f t="shared" si="0"/>
        <v>Sep</v>
      </c>
      <c r="I33" t="s">
        <v>62</v>
      </c>
      <c r="J33" t="s">
        <v>16</v>
      </c>
      <c r="K33" t="s">
        <v>27</v>
      </c>
      <c r="L33" t="s">
        <v>29</v>
      </c>
      <c r="M33">
        <v>1</v>
      </c>
      <c r="N33" t="s">
        <v>20</v>
      </c>
      <c r="O33">
        <v>717</v>
      </c>
      <c r="P33" t="s">
        <v>22</v>
      </c>
      <c r="Q33" t="str" cm="1">
        <f t="array" ref="Q33">_xlfn.IFS(P33="GURGAO","UP",P33="GZB","UP",P33="MOHALI","PUNJAB",P33="AMRITSAR","PUNJAB",P33="DELHI","DELHI")</f>
        <v>UP</v>
      </c>
      <c r="R33" t="s">
        <v>45</v>
      </c>
    </row>
    <row r="34" spans="1:18" x14ac:dyDescent="0.25">
      <c r="A34">
        <v>33</v>
      </c>
      <c r="B34">
        <v>122345</v>
      </c>
      <c r="C34">
        <v>1066</v>
      </c>
      <c r="D34" t="s">
        <v>12</v>
      </c>
      <c r="E34">
        <v>43</v>
      </c>
      <c r="F34" t="str">
        <f t="shared" si="1"/>
        <v>Adult</v>
      </c>
      <c r="G34" s="1">
        <v>46269</v>
      </c>
      <c r="H34" s="1" t="str">
        <f t="shared" si="0"/>
        <v>Sep</v>
      </c>
      <c r="I34" t="s">
        <v>62</v>
      </c>
      <c r="J34" t="s">
        <v>17</v>
      </c>
      <c r="K34" t="s">
        <v>24</v>
      </c>
      <c r="L34" t="s">
        <v>37</v>
      </c>
      <c r="M34">
        <v>1</v>
      </c>
      <c r="N34" t="s">
        <v>20</v>
      </c>
      <c r="O34">
        <v>718</v>
      </c>
      <c r="P34" t="s">
        <v>76</v>
      </c>
      <c r="Q34" t="s">
        <v>77</v>
      </c>
      <c r="R34" t="s">
        <v>45</v>
      </c>
    </row>
    <row r="35" spans="1:18" x14ac:dyDescent="0.25">
      <c r="A35">
        <v>34</v>
      </c>
      <c r="B35">
        <v>122346</v>
      </c>
      <c r="C35">
        <v>1067</v>
      </c>
      <c r="D35" t="s">
        <v>13</v>
      </c>
      <c r="E35">
        <v>34</v>
      </c>
      <c r="F35" t="str">
        <f t="shared" si="1"/>
        <v>Adult</v>
      </c>
      <c r="G35" s="1">
        <v>46269</v>
      </c>
      <c r="H35" s="1" t="str">
        <f t="shared" si="0"/>
        <v>Sep</v>
      </c>
      <c r="I35" t="s">
        <v>62</v>
      </c>
      <c r="J35" t="s">
        <v>18</v>
      </c>
      <c r="K35" t="s">
        <v>32</v>
      </c>
      <c r="L35" t="s">
        <v>38</v>
      </c>
      <c r="M35">
        <v>1</v>
      </c>
      <c r="N35" t="s">
        <v>20</v>
      </c>
      <c r="O35">
        <v>719</v>
      </c>
      <c r="P35" t="s">
        <v>67</v>
      </c>
      <c r="Q35" t="s">
        <v>68</v>
      </c>
      <c r="R35" t="s">
        <v>45</v>
      </c>
    </row>
    <row r="36" spans="1:18" x14ac:dyDescent="0.25">
      <c r="A36">
        <v>35</v>
      </c>
      <c r="B36">
        <v>122347</v>
      </c>
      <c r="C36">
        <v>1068</v>
      </c>
      <c r="D36" t="s">
        <v>13</v>
      </c>
      <c r="E36">
        <v>35</v>
      </c>
      <c r="F36" t="str">
        <f t="shared" si="1"/>
        <v>Adult</v>
      </c>
      <c r="G36" s="1">
        <v>46269</v>
      </c>
      <c r="H36" s="1" t="str">
        <f t="shared" si="0"/>
        <v>Sep</v>
      </c>
      <c r="I36" t="s">
        <v>14</v>
      </c>
      <c r="J36" t="s">
        <v>19</v>
      </c>
      <c r="K36" t="s">
        <v>26</v>
      </c>
      <c r="L36" t="s">
        <v>30</v>
      </c>
      <c r="M36">
        <v>1</v>
      </c>
      <c r="N36" t="s">
        <v>20</v>
      </c>
      <c r="O36">
        <v>720</v>
      </c>
      <c r="P36" t="s">
        <v>78</v>
      </c>
      <c r="Q36" t="str" cm="1">
        <f t="array" ref="Q36">_xlfn.IFS(P36="GURGAO","UP",P36="GZB","UP",P36="MOHALI","PUNJAB",P36="AMRITSAR","PUNJAB",P36="DELHI","DELHI")</f>
        <v>DELHI</v>
      </c>
      <c r="R36" t="s">
        <v>45</v>
      </c>
    </row>
    <row r="37" spans="1:18" x14ac:dyDescent="0.25">
      <c r="A37">
        <v>36</v>
      </c>
      <c r="B37">
        <v>122348</v>
      </c>
      <c r="C37">
        <v>1069</v>
      </c>
      <c r="D37" t="s">
        <v>12</v>
      </c>
      <c r="E37">
        <v>36</v>
      </c>
      <c r="F37" t="str">
        <f t="shared" si="1"/>
        <v>Adult</v>
      </c>
      <c r="G37" s="1">
        <v>46269</v>
      </c>
      <c r="H37" s="1" t="str">
        <f t="shared" si="0"/>
        <v>Sep</v>
      </c>
      <c r="I37" t="s">
        <v>63</v>
      </c>
      <c r="J37" t="s">
        <v>15</v>
      </c>
      <c r="K37" t="s">
        <v>33</v>
      </c>
      <c r="L37" t="s">
        <v>28</v>
      </c>
      <c r="M37">
        <v>1</v>
      </c>
      <c r="N37" t="s">
        <v>20</v>
      </c>
      <c r="O37">
        <v>721</v>
      </c>
      <c r="P37" t="s">
        <v>21</v>
      </c>
      <c r="Q37" t="str" cm="1">
        <f t="array" ref="Q37">_xlfn.IFS(P37="GURGAO","UP",P37="GZB","UP",P37="MOHALI","PUNJAB",P37="AMRITSAR","PUNJAB",P37="DELHI","DELHI")</f>
        <v>UP</v>
      </c>
      <c r="R37" t="s">
        <v>45</v>
      </c>
    </row>
    <row r="38" spans="1:18" x14ac:dyDescent="0.25">
      <c r="A38">
        <v>37</v>
      </c>
      <c r="B38">
        <v>122349</v>
      </c>
      <c r="C38">
        <v>1070</v>
      </c>
      <c r="D38" t="s">
        <v>12</v>
      </c>
      <c r="E38">
        <v>30</v>
      </c>
      <c r="F38" t="str">
        <f t="shared" si="1"/>
        <v>Adult</v>
      </c>
      <c r="G38" s="1">
        <v>46269</v>
      </c>
      <c r="H38" s="1" t="str">
        <f t="shared" si="0"/>
        <v>Sep</v>
      </c>
      <c r="I38" t="s">
        <v>14</v>
      </c>
      <c r="J38" t="s">
        <v>15</v>
      </c>
      <c r="K38" t="s">
        <v>24</v>
      </c>
      <c r="L38" t="s">
        <v>29</v>
      </c>
      <c r="M38">
        <v>1</v>
      </c>
      <c r="N38" t="s">
        <v>20</v>
      </c>
      <c r="O38">
        <v>722</v>
      </c>
      <c r="P38" t="s">
        <v>22</v>
      </c>
      <c r="Q38" t="str" cm="1">
        <f t="array" ref="Q38">_xlfn.IFS(P38="GURGAO","UP",P38="GZB","UP",P38="MOHALI","PUNJAB",P38="AMRITSAR","PUNJAB",P38="DELHI","DELHI")</f>
        <v>UP</v>
      </c>
      <c r="R38" t="s">
        <v>45</v>
      </c>
    </row>
    <row r="39" spans="1:18" x14ac:dyDescent="0.25">
      <c r="A39">
        <v>38</v>
      </c>
      <c r="B39">
        <v>122350</v>
      </c>
      <c r="C39">
        <v>1071</v>
      </c>
      <c r="D39" t="s">
        <v>13</v>
      </c>
      <c r="E39">
        <v>39</v>
      </c>
      <c r="F39" t="str">
        <f t="shared" si="1"/>
        <v>Adult</v>
      </c>
      <c r="G39" s="1">
        <v>46269</v>
      </c>
      <c r="H39" s="1" t="str">
        <f t="shared" si="0"/>
        <v>Sep</v>
      </c>
      <c r="I39" t="s">
        <v>14</v>
      </c>
      <c r="J39" t="s">
        <v>16</v>
      </c>
      <c r="K39" t="s">
        <v>25</v>
      </c>
      <c r="L39" t="s">
        <v>30</v>
      </c>
      <c r="M39">
        <v>1</v>
      </c>
      <c r="N39" t="s">
        <v>20</v>
      </c>
      <c r="O39">
        <v>723</v>
      </c>
      <c r="P39" t="s">
        <v>76</v>
      </c>
      <c r="Q39" t="s">
        <v>77</v>
      </c>
      <c r="R39" t="s">
        <v>45</v>
      </c>
    </row>
    <row r="40" spans="1:18" x14ac:dyDescent="0.25">
      <c r="A40">
        <v>39</v>
      </c>
      <c r="B40">
        <v>122351</v>
      </c>
      <c r="C40">
        <v>1072</v>
      </c>
      <c r="D40" t="s">
        <v>13</v>
      </c>
      <c r="E40">
        <v>37</v>
      </c>
      <c r="F40" t="str">
        <f t="shared" si="1"/>
        <v>Adult</v>
      </c>
      <c r="G40" s="1">
        <v>46299</v>
      </c>
      <c r="H40" s="1" t="str">
        <f t="shared" si="0"/>
        <v>Oct</v>
      </c>
      <c r="I40" t="s">
        <v>62</v>
      </c>
      <c r="J40" t="s">
        <v>17</v>
      </c>
      <c r="K40" t="s">
        <v>34</v>
      </c>
      <c r="L40" t="s">
        <v>38</v>
      </c>
      <c r="M40">
        <v>1</v>
      </c>
      <c r="N40" t="s">
        <v>20</v>
      </c>
      <c r="O40">
        <v>724</v>
      </c>
      <c r="P40" t="s">
        <v>71</v>
      </c>
      <c r="Q40" t="str" cm="1">
        <f t="array" ref="Q40">_xlfn.IFS(P40="GURGAO","UP",P40="GZB","UP",P40="MOHALI","PUNJAB",P40="Amritsar","PUNJAB",P40="DELHI","DELHI")</f>
        <v>PUNJAB</v>
      </c>
      <c r="R40" t="s">
        <v>45</v>
      </c>
    </row>
    <row r="41" spans="1:18" x14ac:dyDescent="0.25">
      <c r="A41">
        <v>40</v>
      </c>
      <c r="B41">
        <v>122352</v>
      </c>
      <c r="C41">
        <v>1073</v>
      </c>
      <c r="D41" t="s">
        <v>12</v>
      </c>
      <c r="E41">
        <v>29</v>
      </c>
      <c r="F41" t="str">
        <f t="shared" si="1"/>
        <v>Teenager</v>
      </c>
      <c r="G41" s="1">
        <v>46299</v>
      </c>
      <c r="H41" s="1" t="str">
        <f t="shared" si="0"/>
        <v>Oct</v>
      </c>
      <c r="I41" t="s">
        <v>14</v>
      </c>
      <c r="J41" t="s">
        <v>18</v>
      </c>
      <c r="K41" t="s">
        <v>24</v>
      </c>
      <c r="L41" t="s">
        <v>37</v>
      </c>
      <c r="M41">
        <v>1</v>
      </c>
      <c r="N41" t="s">
        <v>20</v>
      </c>
      <c r="O41">
        <v>725</v>
      </c>
      <c r="P41" t="s">
        <v>78</v>
      </c>
      <c r="Q41" t="str" cm="1">
        <f t="array" ref="Q41">_xlfn.IFS(P41="GURGAO","UP",P41="GZB","UP",P41="MOHALI","PUNJAB",P41="AMRITSAR","PUNJAB",P41="DELHI","DELHI")</f>
        <v>DELHI</v>
      </c>
      <c r="R41" t="s">
        <v>45</v>
      </c>
    </row>
    <row r="42" spans="1:18" x14ac:dyDescent="0.25">
      <c r="A42">
        <v>41</v>
      </c>
      <c r="B42">
        <v>122353</v>
      </c>
      <c r="C42">
        <v>1074</v>
      </c>
      <c r="D42" t="s">
        <v>12</v>
      </c>
      <c r="E42">
        <v>24</v>
      </c>
      <c r="F42" t="str">
        <f t="shared" si="1"/>
        <v>Teenager</v>
      </c>
      <c r="G42" s="1">
        <v>46299</v>
      </c>
      <c r="H42" s="1" t="str">
        <f t="shared" si="0"/>
        <v>Oct</v>
      </c>
      <c r="I42" t="s">
        <v>14</v>
      </c>
      <c r="J42" t="s">
        <v>19</v>
      </c>
      <c r="K42" t="s">
        <v>27</v>
      </c>
      <c r="L42" t="s">
        <v>28</v>
      </c>
      <c r="M42">
        <v>1</v>
      </c>
      <c r="N42" t="s">
        <v>20</v>
      </c>
      <c r="O42">
        <v>726</v>
      </c>
      <c r="P42" t="s">
        <v>21</v>
      </c>
      <c r="Q42" t="str" cm="1">
        <f t="array" ref="Q42">_xlfn.IFS(P42="GURGAO","UP",P42="GZB","UP",P42="MOHALI","PUNJAB",P42="AMRITSAR","PUNJAB",P42="DELHI","DELHI")</f>
        <v>UP</v>
      </c>
      <c r="R42" t="s">
        <v>45</v>
      </c>
    </row>
    <row r="43" spans="1:18" x14ac:dyDescent="0.25">
      <c r="A43">
        <v>42</v>
      </c>
      <c r="B43">
        <v>122354</v>
      </c>
      <c r="C43">
        <v>1075</v>
      </c>
      <c r="D43" t="s">
        <v>13</v>
      </c>
      <c r="E43">
        <v>24</v>
      </c>
      <c r="F43" t="str">
        <f t="shared" si="1"/>
        <v>Teenager</v>
      </c>
      <c r="G43" s="1">
        <v>46299</v>
      </c>
      <c r="H43" s="1" t="str">
        <f t="shared" si="0"/>
        <v>Oct</v>
      </c>
      <c r="I43" t="s">
        <v>14</v>
      </c>
      <c r="J43" t="s">
        <v>15</v>
      </c>
      <c r="K43" t="s">
        <v>35</v>
      </c>
      <c r="L43" t="s">
        <v>29</v>
      </c>
      <c r="M43">
        <v>1</v>
      </c>
      <c r="N43" t="s">
        <v>20</v>
      </c>
      <c r="O43">
        <v>727</v>
      </c>
      <c r="P43" t="s">
        <v>22</v>
      </c>
      <c r="Q43" t="str" cm="1">
        <f t="array" ref="Q43">_xlfn.IFS(P43="GURGAO","UP",P43="GZB","UP",P43="MOHALI","PUNJAB",P43="AMRITSAR","PUNJAB",P43="DELHI","DELHI")</f>
        <v>UP</v>
      </c>
      <c r="R43" t="s">
        <v>45</v>
      </c>
    </row>
    <row r="44" spans="1:18" x14ac:dyDescent="0.25">
      <c r="A44">
        <v>43</v>
      </c>
      <c r="B44">
        <v>122355</v>
      </c>
      <c r="C44">
        <v>1076</v>
      </c>
      <c r="D44" t="s">
        <v>13</v>
      </c>
      <c r="E44">
        <v>25</v>
      </c>
      <c r="F44" t="str">
        <f t="shared" si="1"/>
        <v>Teenager</v>
      </c>
      <c r="G44" s="1">
        <v>46299</v>
      </c>
      <c r="H44" s="1" t="str">
        <f t="shared" si="0"/>
        <v>Oct</v>
      </c>
      <c r="I44" t="s">
        <v>62</v>
      </c>
      <c r="J44" t="s">
        <v>15</v>
      </c>
      <c r="K44" t="s">
        <v>36</v>
      </c>
      <c r="L44" t="s">
        <v>30</v>
      </c>
      <c r="M44">
        <v>1</v>
      </c>
      <c r="N44" t="s">
        <v>20</v>
      </c>
      <c r="O44">
        <v>728</v>
      </c>
      <c r="P44" t="s">
        <v>78</v>
      </c>
      <c r="Q44" t="str" cm="1">
        <f t="array" ref="Q44">_xlfn.IFS(P44="GURGAO","UP",P44="GZB","UP",P44="MOHALI","PUNJAB",P44="AMRITSAR","PUNJAB",P44="DELHI","DELHI")</f>
        <v>DELHI</v>
      </c>
      <c r="R44" t="s">
        <v>45</v>
      </c>
    </row>
    <row r="45" spans="1:18" x14ac:dyDescent="0.25">
      <c r="A45">
        <v>44</v>
      </c>
      <c r="B45">
        <v>122356</v>
      </c>
      <c r="C45">
        <v>1077</v>
      </c>
      <c r="D45" t="s">
        <v>12</v>
      </c>
      <c r="E45">
        <v>27</v>
      </c>
      <c r="F45" t="str">
        <f t="shared" si="1"/>
        <v>Teenager</v>
      </c>
      <c r="G45" s="1">
        <v>46299</v>
      </c>
      <c r="H45" s="1" t="str">
        <f t="shared" si="0"/>
        <v>Oct</v>
      </c>
      <c r="I45" t="s">
        <v>14</v>
      </c>
      <c r="J45" t="s">
        <v>16</v>
      </c>
      <c r="K45" t="s">
        <v>26</v>
      </c>
      <c r="L45" t="s">
        <v>39</v>
      </c>
      <c r="M45">
        <v>1</v>
      </c>
      <c r="N45" t="s">
        <v>20</v>
      </c>
      <c r="O45">
        <v>729</v>
      </c>
      <c r="P45" t="s">
        <v>70</v>
      </c>
      <c r="Q45" t="s">
        <v>69</v>
      </c>
      <c r="R45" t="s">
        <v>45</v>
      </c>
    </row>
    <row r="46" spans="1:18" x14ac:dyDescent="0.25">
      <c r="A46">
        <v>45</v>
      </c>
      <c r="B46">
        <v>122357</v>
      </c>
      <c r="C46">
        <v>1078</v>
      </c>
      <c r="D46" t="s">
        <v>13</v>
      </c>
      <c r="E46">
        <v>29</v>
      </c>
      <c r="F46" t="str">
        <f t="shared" si="1"/>
        <v>Teenager</v>
      </c>
      <c r="G46" s="1">
        <v>46299</v>
      </c>
      <c r="H46" s="1" t="str">
        <f t="shared" si="0"/>
        <v>Oct</v>
      </c>
      <c r="I46" t="s">
        <v>63</v>
      </c>
      <c r="J46" t="s">
        <v>17</v>
      </c>
      <c r="K46" t="s">
        <v>26</v>
      </c>
      <c r="L46" t="s">
        <v>37</v>
      </c>
      <c r="M46">
        <v>1</v>
      </c>
      <c r="N46" t="s">
        <v>20</v>
      </c>
      <c r="O46">
        <v>730</v>
      </c>
      <c r="P46" t="s">
        <v>76</v>
      </c>
      <c r="Q46" t="s">
        <v>77</v>
      </c>
      <c r="R46" t="s">
        <v>45</v>
      </c>
    </row>
    <row r="47" spans="1:18" x14ac:dyDescent="0.25">
      <c r="A47">
        <v>46</v>
      </c>
      <c r="B47">
        <v>122358</v>
      </c>
      <c r="C47">
        <v>1079</v>
      </c>
      <c r="D47" t="s">
        <v>13</v>
      </c>
      <c r="E47">
        <v>28</v>
      </c>
      <c r="F47" t="str">
        <f t="shared" si="1"/>
        <v>Teenager</v>
      </c>
      <c r="G47" s="1">
        <v>46299</v>
      </c>
      <c r="H47" s="1" t="str">
        <f t="shared" si="0"/>
        <v>Oct</v>
      </c>
      <c r="I47" t="s">
        <v>64</v>
      </c>
      <c r="J47" t="s">
        <v>18</v>
      </c>
      <c r="K47" t="s">
        <v>24</v>
      </c>
      <c r="L47" t="s">
        <v>28</v>
      </c>
      <c r="M47">
        <v>1</v>
      </c>
      <c r="N47" t="s">
        <v>20</v>
      </c>
      <c r="O47">
        <v>731</v>
      </c>
      <c r="P47" t="s">
        <v>21</v>
      </c>
      <c r="Q47" t="str" cm="1">
        <f t="array" ref="Q47">_xlfn.IFS(P47="GURGAO","UP",P47="GZB","UP",P47="MOHALI","PUNJAB",P47="AMRITSAR","PUNJAB",P47="DELHI","DELHI")</f>
        <v>UP</v>
      </c>
      <c r="R47" t="s">
        <v>45</v>
      </c>
    </row>
    <row r="48" spans="1:18" x14ac:dyDescent="0.25">
      <c r="A48">
        <v>47</v>
      </c>
      <c r="B48">
        <v>122359</v>
      </c>
      <c r="C48">
        <v>1080</v>
      </c>
      <c r="D48" t="s">
        <v>13</v>
      </c>
      <c r="E48">
        <v>28</v>
      </c>
      <c r="F48" t="str">
        <f t="shared" si="1"/>
        <v>Teenager</v>
      </c>
      <c r="G48" s="1">
        <v>46299</v>
      </c>
      <c r="H48" s="1" t="str">
        <f t="shared" si="0"/>
        <v>Oct</v>
      </c>
      <c r="I48" t="s">
        <v>63</v>
      </c>
      <c r="J48" t="s">
        <v>19</v>
      </c>
      <c r="K48" t="s">
        <v>25</v>
      </c>
      <c r="L48" t="s">
        <v>29</v>
      </c>
      <c r="M48">
        <v>1</v>
      </c>
      <c r="N48" t="s">
        <v>20</v>
      </c>
      <c r="O48">
        <v>732</v>
      </c>
      <c r="P48" t="s">
        <v>22</v>
      </c>
      <c r="Q48" t="str" cm="1">
        <f t="array" ref="Q48">_xlfn.IFS(P48="GURGAO","UP",P48="GZB","UP",P48="MOHALI","PUNJAB",P48="AMRITSAR","PUNJAB",P48="DELHI","DELHI")</f>
        <v>UP</v>
      </c>
      <c r="R48" t="s">
        <v>45</v>
      </c>
    </row>
    <row r="49" spans="1:20" x14ac:dyDescent="0.25">
      <c r="A49">
        <v>48</v>
      </c>
      <c r="B49">
        <v>122360</v>
      </c>
      <c r="C49">
        <v>1081</v>
      </c>
      <c r="D49" t="s">
        <v>13</v>
      </c>
      <c r="E49">
        <v>29</v>
      </c>
      <c r="F49" t="str">
        <f t="shared" si="1"/>
        <v>Teenager</v>
      </c>
      <c r="G49" s="1">
        <v>46299</v>
      </c>
      <c r="H49" s="1" t="str">
        <f t="shared" si="0"/>
        <v>Oct</v>
      </c>
      <c r="I49" t="s">
        <v>64</v>
      </c>
      <c r="J49" t="s">
        <v>15</v>
      </c>
      <c r="K49" t="s">
        <v>26</v>
      </c>
      <c r="L49" t="s">
        <v>37</v>
      </c>
      <c r="M49">
        <v>1</v>
      </c>
      <c r="N49" t="s">
        <v>20</v>
      </c>
      <c r="O49">
        <v>733</v>
      </c>
      <c r="P49" t="s">
        <v>78</v>
      </c>
      <c r="Q49" t="str" cm="1">
        <f t="array" ref="Q49">_xlfn.IFS(P49="GURGAO","UP",P49="GZB","UP",P49="MOHALI","PUNJAB",P49="AMRITSAR","PUNJAB",P49="DELHI","DELHI")</f>
        <v>DELHI</v>
      </c>
      <c r="R49" t="s">
        <v>45</v>
      </c>
    </row>
    <row r="50" spans="1:20" x14ac:dyDescent="0.25">
      <c r="A50">
        <v>49</v>
      </c>
      <c r="B50">
        <v>122361</v>
      </c>
      <c r="C50">
        <v>1082</v>
      </c>
      <c r="D50" t="s">
        <v>13</v>
      </c>
      <c r="E50">
        <v>30</v>
      </c>
      <c r="F50" t="str">
        <f t="shared" si="1"/>
        <v>Adult</v>
      </c>
      <c r="G50" s="1">
        <v>46360</v>
      </c>
      <c r="H50" s="1" t="str">
        <f t="shared" si="0"/>
        <v>Dec</v>
      </c>
      <c r="I50" t="s">
        <v>63</v>
      </c>
      <c r="J50" t="s">
        <v>15</v>
      </c>
      <c r="K50" t="s">
        <v>24</v>
      </c>
      <c r="L50" t="s">
        <v>39</v>
      </c>
      <c r="M50">
        <v>1</v>
      </c>
      <c r="N50" t="s">
        <v>20</v>
      </c>
      <c r="O50">
        <v>734</v>
      </c>
      <c r="P50" t="s">
        <v>40</v>
      </c>
      <c r="Q50" t="str" cm="1">
        <f t="array" ref="Q50">_xlfn.IFS(P50="GURGAO","UP",P50="GZB","UP",P50="MOHALI","PUNJAB",P50="AMRITSAR","PUNJAB",P50="DELHI","DELHI")</f>
        <v>PUNJAB</v>
      </c>
      <c r="R50" t="s">
        <v>45</v>
      </c>
    </row>
    <row r="51" spans="1:20" x14ac:dyDescent="0.25">
      <c r="A51">
        <v>50</v>
      </c>
      <c r="B51">
        <v>122362</v>
      </c>
      <c r="C51">
        <v>1083</v>
      </c>
      <c r="D51" t="s">
        <v>13</v>
      </c>
      <c r="E51">
        <v>32</v>
      </c>
      <c r="F51" t="str">
        <f t="shared" si="1"/>
        <v>Adult</v>
      </c>
      <c r="G51" s="1">
        <v>46360</v>
      </c>
      <c r="H51" s="1" t="str">
        <f t="shared" si="0"/>
        <v>Dec</v>
      </c>
      <c r="I51" t="s">
        <v>14</v>
      </c>
      <c r="J51" t="s">
        <v>16</v>
      </c>
      <c r="K51" t="s">
        <v>31</v>
      </c>
      <c r="L51" t="s">
        <v>30</v>
      </c>
      <c r="M51">
        <v>1</v>
      </c>
      <c r="N51" t="s">
        <v>20</v>
      </c>
      <c r="O51">
        <v>735</v>
      </c>
      <c r="P51" t="s">
        <v>78</v>
      </c>
      <c r="Q51" t="str" cm="1">
        <f t="array" ref="Q51">_xlfn.IFS(P51="GURGAO","UP",P51="GZB","UP",P51="MOHALI","PUNJAB",P51="AMRITSAR","PUNJAB",P51="DELHI","DELHI")</f>
        <v>DELHI</v>
      </c>
      <c r="R51" t="s">
        <v>45</v>
      </c>
    </row>
    <row r="52" spans="1:20" x14ac:dyDescent="0.25">
      <c r="R52" s="3"/>
      <c r="S52" s="4"/>
      <c r="T52" s="5"/>
    </row>
    <row r="53" spans="1:20" x14ac:dyDescent="0.25">
      <c r="R53" s="6"/>
      <c r="S53" s="7"/>
      <c r="T53" s="8"/>
    </row>
    <row r="54" spans="1:20" x14ac:dyDescent="0.25">
      <c r="R54" s="6"/>
      <c r="S54" s="7"/>
      <c r="T54" s="8"/>
    </row>
    <row r="55" spans="1:20" x14ac:dyDescent="0.25">
      <c r="R55" s="6"/>
      <c r="S55" s="7"/>
      <c r="T55" s="8"/>
    </row>
    <row r="56" spans="1:20" x14ac:dyDescent="0.25">
      <c r="R56" s="6"/>
      <c r="S56" s="7"/>
      <c r="T56" s="8"/>
    </row>
    <row r="57" spans="1:20" x14ac:dyDescent="0.25">
      <c r="R57" s="6"/>
      <c r="S57" s="7"/>
      <c r="T57" s="8"/>
    </row>
    <row r="58" spans="1:20" x14ac:dyDescent="0.25">
      <c r="R58" s="6"/>
      <c r="S58" s="7"/>
      <c r="T58" s="8"/>
    </row>
    <row r="59" spans="1:20" x14ac:dyDescent="0.25">
      <c r="R59" s="6"/>
      <c r="S59" s="7"/>
      <c r="T59" s="8"/>
    </row>
    <row r="60" spans="1:20" x14ac:dyDescent="0.25">
      <c r="R60" s="6"/>
      <c r="S60" s="7"/>
      <c r="T60" s="8"/>
    </row>
    <row r="61" spans="1:20" x14ac:dyDescent="0.25">
      <c r="R61" s="6"/>
      <c r="S61" s="7"/>
      <c r="T61" s="8"/>
    </row>
    <row r="62" spans="1:20" x14ac:dyDescent="0.25">
      <c r="R62" s="6"/>
      <c r="S62" s="7"/>
      <c r="T62" s="8"/>
    </row>
    <row r="63" spans="1:20" x14ac:dyDescent="0.25">
      <c r="R63" s="6"/>
      <c r="S63" s="7"/>
      <c r="T63" s="8"/>
    </row>
    <row r="64" spans="1:20" x14ac:dyDescent="0.25">
      <c r="R64" s="6"/>
      <c r="S64" s="7"/>
      <c r="T64" s="8"/>
    </row>
    <row r="65" spans="18:20" x14ac:dyDescent="0.25">
      <c r="R65" s="6"/>
      <c r="S65" s="7"/>
      <c r="T65" s="8"/>
    </row>
    <row r="66" spans="18:20" x14ac:dyDescent="0.25">
      <c r="R66" s="6"/>
      <c r="S66" s="7"/>
      <c r="T66" s="8"/>
    </row>
    <row r="67" spans="18:20" x14ac:dyDescent="0.25">
      <c r="R67" s="6"/>
      <c r="S67" s="7"/>
      <c r="T67" s="8"/>
    </row>
    <row r="68" spans="18:20" x14ac:dyDescent="0.25">
      <c r="R68" s="6"/>
      <c r="S68" s="7"/>
      <c r="T68" s="8"/>
    </row>
    <row r="69" spans="18:20" x14ac:dyDescent="0.25">
      <c r="R69" s="9"/>
      <c r="S69" s="10"/>
      <c r="T69" s="11"/>
    </row>
  </sheetData>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47BF-AFC7-49E7-BC2D-2B85310100A7}">
  <dimension ref="A1:AC109"/>
  <sheetViews>
    <sheetView zoomScale="95" zoomScaleNormal="110" workbookViewId="0">
      <selection activeCell="C20" sqref="C20"/>
    </sheetView>
  </sheetViews>
  <sheetFormatPr defaultRowHeight="15" x14ac:dyDescent="0.25"/>
  <cols>
    <col min="1" max="1" width="16.28515625" bestFit="1" customWidth="1"/>
    <col min="2" max="2" width="18.7109375" bestFit="1" customWidth="1"/>
    <col min="3" max="3" width="21.28515625" customWidth="1"/>
  </cols>
  <sheetData>
    <row r="1" spans="1:29" ht="18.75" x14ac:dyDescent="0.3">
      <c r="A1" s="16"/>
      <c r="B1" s="16"/>
      <c r="C1" s="16"/>
      <c r="D1" s="30" t="s">
        <v>61</v>
      </c>
      <c r="E1" s="31"/>
      <c r="F1" s="31"/>
      <c r="G1" s="31"/>
      <c r="H1" s="31"/>
      <c r="I1" s="31"/>
      <c r="J1" s="31"/>
      <c r="K1" s="31"/>
      <c r="L1" s="31"/>
      <c r="M1" s="16"/>
      <c r="N1" s="16"/>
      <c r="O1" s="16"/>
      <c r="P1" s="16"/>
      <c r="Q1" s="16"/>
      <c r="R1" s="16"/>
      <c r="S1" s="16"/>
      <c r="T1" s="16"/>
      <c r="U1" s="16"/>
      <c r="V1" s="16"/>
      <c r="W1" s="16"/>
      <c r="X1" s="16"/>
      <c r="Y1" s="16"/>
      <c r="Z1" s="16"/>
      <c r="AA1" s="16"/>
      <c r="AB1" s="16"/>
      <c r="AC1" s="16"/>
    </row>
    <row r="2" spans="1:29" ht="15.75" x14ac:dyDescent="0.25">
      <c r="A2" s="16"/>
      <c r="B2" s="16"/>
      <c r="C2" s="16"/>
      <c r="D2" s="16"/>
      <c r="E2" s="16"/>
      <c r="F2" s="29" t="s">
        <v>59</v>
      </c>
      <c r="G2" s="29"/>
      <c r="H2" s="29"/>
      <c r="I2" s="29"/>
      <c r="J2" s="16"/>
      <c r="K2" s="16"/>
      <c r="L2" s="16"/>
      <c r="M2" s="16"/>
      <c r="N2" s="16"/>
      <c r="O2" s="16"/>
      <c r="P2" s="16"/>
      <c r="Q2" s="16"/>
      <c r="R2" s="16"/>
      <c r="S2" s="16"/>
      <c r="T2" s="16"/>
      <c r="U2" s="16"/>
      <c r="V2" s="16"/>
      <c r="W2" s="16"/>
      <c r="X2" s="16"/>
      <c r="Y2" s="16"/>
      <c r="Z2" s="16"/>
      <c r="AA2" s="16"/>
      <c r="AB2" s="16"/>
      <c r="AC2" s="16"/>
    </row>
    <row r="3" spans="1:29" ht="18.75" x14ac:dyDescent="0.3">
      <c r="A3" s="17" t="s">
        <v>53</v>
      </c>
      <c r="B3" s="17" t="s">
        <v>52</v>
      </c>
      <c r="C3" s="17" t="s">
        <v>56</v>
      </c>
      <c r="D3" s="16"/>
      <c r="E3" s="16"/>
      <c r="F3" s="16"/>
      <c r="G3" s="16"/>
      <c r="H3" s="16"/>
      <c r="I3" s="16"/>
      <c r="J3" s="16"/>
      <c r="K3" s="16"/>
      <c r="L3" s="16"/>
      <c r="M3" s="16"/>
      <c r="N3" s="16"/>
      <c r="O3" s="16"/>
      <c r="P3" s="16"/>
      <c r="Q3" s="16"/>
      <c r="R3" s="16"/>
      <c r="S3" s="16"/>
      <c r="T3" s="16"/>
      <c r="U3" s="16"/>
      <c r="V3" s="16"/>
      <c r="W3" s="16"/>
      <c r="X3" s="16"/>
      <c r="Y3" s="16"/>
      <c r="Z3" s="16"/>
      <c r="AA3" s="16"/>
      <c r="AB3" s="16"/>
      <c r="AC3" s="16"/>
    </row>
    <row r="4" spans="1:29" ht="18.75" x14ac:dyDescent="0.3">
      <c r="A4" s="18" t="s">
        <v>54</v>
      </c>
      <c r="B4" s="48">
        <v>265</v>
      </c>
      <c r="C4" s="48">
        <v>1</v>
      </c>
      <c r="D4" s="16"/>
      <c r="E4" s="16"/>
      <c r="F4" s="16"/>
      <c r="G4" s="16"/>
      <c r="H4" s="16"/>
      <c r="I4" s="16"/>
      <c r="J4" s="16"/>
      <c r="K4" s="16"/>
      <c r="L4" s="16"/>
      <c r="M4" s="16"/>
      <c r="N4" s="16"/>
      <c r="O4" s="16"/>
      <c r="P4" s="16"/>
      <c r="Q4" s="16"/>
      <c r="R4" s="16"/>
      <c r="S4" s="16"/>
      <c r="T4" s="16"/>
      <c r="U4" s="16"/>
      <c r="V4" s="16"/>
      <c r="W4" s="16"/>
      <c r="X4" s="16"/>
      <c r="Y4" s="16"/>
      <c r="Z4" s="16"/>
      <c r="AA4" s="16"/>
      <c r="AB4" s="16"/>
      <c r="AC4" s="16"/>
    </row>
    <row r="5" spans="1:29" ht="18.75" x14ac:dyDescent="0.3">
      <c r="A5" s="19" t="s">
        <v>55</v>
      </c>
      <c r="B5" s="49">
        <v>265</v>
      </c>
      <c r="C5" s="49">
        <v>1</v>
      </c>
      <c r="D5" s="16"/>
      <c r="E5" s="16"/>
      <c r="F5" s="16"/>
      <c r="G5" s="16"/>
      <c r="H5" s="16"/>
      <c r="I5" s="16"/>
      <c r="J5" s="16"/>
      <c r="K5" s="16"/>
      <c r="L5" s="16"/>
      <c r="M5" s="16"/>
      <c r="N5" s="16"/>
      <c r="O5" s="16"/>
      <c r="P5" s="16"/>
      <c r="Q5" s="16"/>
      <c r="R5" s="16"/>
      <c r="S5" s="16"/>
      <c r="T5" s="16"/>
      <c r="U5" s="16"/>
      <c r="V5" s="16"/>
      <c r="W5" s="16"/>
      <c r="X5" s="16"/>
      <c r="Y5" s="16"/>
      <c r="Z5" s="16"/>
      <c r="AA5" s="16"/>
      <c r="AB5" s="16"/>
      <c r="AC5" s="16"/>
    </row>
    <row r="6" spans="1:29" ht="18.75" x14ac:dyDescent="0.3">
      <c r="D6" s="16"/>
      <c r="E6" s="16"/>
      <c r="F6" s="16"/>
      <c r="G6" s="16"/>
      <c r="H6" s="16"/>
      <c r="I6" s="16"/>
      <c r="J6" s="16"/>
      <c r="K6" s="16"/>
      <c r="L6" s="16"/>
      <c r="M6" s="16"/>
      <c r="N6" s="16"/>
      <c r="O6" s="16"/>
      <c r="P6" s="16"/>
      <c r="Q6" s="16"/>
      <c r="R6" s="16"/>
      <c r="S6" s="16"/>
      <c r="T6" s="16"/>
      <c r="U6" s="16"/>
      <c r="V6" s="16"/>
      <c r="W6" s="16"/>
      <c r="X6" s="16"/>
      <c r="Y6" s="16"/>
      <c r="Z6" s="16"/>
      <c r="AA6" s="16"/>
      <c r="AB6" s="16"/>
      <c r="AC6" s="16"/>
    </row>
    <row r="7" spans="1:29" ht="18.75" x14ac:dyDescent="0.3">
      <c r="D7" s="16"/>
      <c r="E7" s="16"/>
      <c r="F7" s="16"/>
      <c r="G7" s="16"/>
      <c r="H7" s="16"/>
      <c r="I7" s="16"/>
      <c r="J7" s="16"/>
      <c r="K7" s="16"/>
      <c r="L7" s="16"/>
      <c r="M7" s="16"/>
      <c r="N7" s="16"/>
      <c r="O7" s="16"/>
      <c r="P7" s="16"/>
      <c r="Q7" s="16"/>
      <c r="R7" s="16"/>
      <c r="S7" s="16"/>
      <c r="T7" s="16"/>
      <c r="U7" s="16"/>
      <c r="V7" s="16"/>
      <c r="W7" s="16"/>
      <c r="X7" s="16"/>
      <c r="Y7" s="16"/>
      <c r="Z7" s="16"/>
      <c r="AA7" s="16"/>
      <c r="AB7" s="16"/>
      <c r="AC7" s="16"/>
    </row>
    <row r="8" spans="1:29" ht="18.75" x14ac:dyDescent="0.3">
      <c r="D8" s="16"/>
      <c r="E8" s="16"/>
      <c r="F8" s="16"/>
      <c r="G8" s="16"/>
      <c r="H8" s="16"/>
      <c r="I8" s="16"/>
      <c r="J8" s="16"/>
      <c r="K8" s="16"/>
      <c r="L8" s="16"/>
      <c r="M8" s="16"/>
      <c r="N8" s="16"/>
      <c r="O8" s="16"/>
      <c r="P8" s="16"/>
      <c r="Q8" s="16"/>
      <c r="R8" s="16"/>
      <c r="S8" s="16"/>
      <c r="T8" s="16"/>
      <c r="U8" s="16"/>
      <c r="V8" s="16"/>
      <c r="W8" s="16"/>
      <c r="X8" s="16"/>
      <c r="Y8" s="16"/>
      <c r="Z8" s="16"/>
      <c r="AA8" s="16"/>
      <c r="AB8" s="16"/>
      <c r="AC8" s="16"/>
    </row>
    <row r="9" spans="1:29" ht="18.75" x14ac:dyDescent="0.3">
      <c r="D9" s="16"/>
      <c r="E9" s="16"/>
      <c r="F9" s="16"/>
      <c r="G9" s="16"/>
      <c r="H9" s="16"/>
      <c r="I9" s="16"/>
      <c r="J9" s="16"/>
      <c r="K9" s="16"/>
      <c r="L9" s="16"/>
      <c r="M9" s="16"/>
      <c r="N9" s="16"/>
      <c r="O9" s="16"/>
      <c r="P9" s="16"/>
      <c r="Q9" s="16"/>
      <c r="R9" s="16"/>
      <c r="S9" s="16"/>
      <c r="T9" s="16"/>
      <c r="U9" s="16"/>
      <c r="V9" s="16"/>
      <c r="W9" s="16"/>
      <c r="X9" s="16"/>
      <c r="Y9" s="16"/>
      <c r="Z9" s="16"/>
      <c r="AA9" s="16"/>
      <c r="AB9" s="16"/>
      <c r="AC9" s="16"/>
    </row>
    <row r="10" spans="1:29" ht="18.75" x14ac:dyDescent="0.3">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row>
    <row r="11" spans="1:29" ht="18.75" x14ac:dyDescent="0.3">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row>
    <row r="12" spans="1:29" ht="18.75" x14ac:dyDescent="0.3">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row>
    <row r="13" spans="1:29" ht="18.75" x14ac:dyDescent="0.3">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row>
    <row r="14" spans="1:29" ht="18.75" x14ac:dyDescent="0.3">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row>
    <row r="15" spans="1:29" ht="18.75" x14ac:dyDescent="0.3">
      <c r="D15" s="16"/>
      <c r="E15" s="16"/>
      <c r="J15" s="16"/>
      <c r="K15" s="16"/>
      <c r="L15" s="16"/>
      <c r="M15" s="16"/>
      <c r="N15" s="16"/>
      <c r="O15" s="16"/>
      <c r="P15" s="16"/>
      <c r="Q15" s="16"/>
      <c r="R15" s="16"/>
      <c r="S15" s="16"/>
      <c r="T15" s="16"/>
      <c r="U15" s="16"/>
      <c r="V15" s="16"/>
      <c r="W15" s="16"/>
      <c r="X15" s="16"/>
      <c r="Y15" s="16"/>
      <c r="Z15" s="16"/>
      <c r="AA15" s="16"/>
      <c r="AB15" s="16"/>
      <c r="AC15" s="16"/>
    </row>
    <row r="16" spans="1:29"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row>
    <row r="17" spans="1:29"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row>
    <row r="18" spans="1:29"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row>
    <row r="19" spans="1:29"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row>
    <row r="20" spans="1:29"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row>
    <row r="21" spans="1:29"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row>
    <row r="22" spans="1:29"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row>
    <row r="23" spans="1:29"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row>
    <row r="24" spans="1:29"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row>
    <row r="25" spans="1:29" x14ac:dyDescent="0.25">
      <c r="J25" s="16"/>
      <c r="K25" s="16"/>
      <c r="L25" s="16"/>
      <c r="M25" s="16"/>
      <c r="N25" s="16"/>
      <c r="O25" s="16"/>
      <c r="P25" s="16"/>
      <c r="Q25" s="16"/>
      <c r="R25" s="16"/>
      <c r="S25" s="16"/>
      <c r="T25" s="16"/>
      <c r="U25" s="16"/>
      <c r="V25" s="16"/>
      <c r="W25" s="16"/>
      <c r="X25" s="16"/>
      <c r="Y25" s="16"/>
      <c r="Z25" s="16"/>
      <c r="AA25" s="16"/>
      <c r="AB25" s="16"/>
      <c r="AC25" s="16"/>
    </row>
    <row r="26" spans="1:29" x14ac:dyDescent="0.25">
      <c r="J26" s="16"/>
      <c r="K26" s="16"/>
      <c r="L26" s="16"/>
      <c r="M26" s="16"/>
      <c r="N26" s="16"/>
      <c r="O26" s="16"/>
      <c r="P26" s="16"/>
      <c r="Q26" s="16"/>
      <c r="R26" s="16"/>
      <c r="S26" s="16"/>
      <c r="T26" s="16"/>
      <c r="U26" s="16"/>
      <c r="V26" s="16"/>
      <c r="W26" s="16"/>
      <c r="X26" s="16"/>
      <c r="Y26" s="16"/>
      <c r="Z26" s="16"/>
      <c r="AA26" s="16"/>
      <c r="AB26" s="16"/>
      <c r="AC26" s="16"/>
    </row>
    <row r="27" spans="1:29" x14ac:dyDescent="0.25">
      <c r="J27" s="16"/>
      <c r="K27" s="16"/>
      <c r="L27" s="16"/>
      <c r="M27" s="16"/>
      <c r="N27" s="16"/>
      <c r="O27" s="16"/>
      <c r="P27" s="16"/>
      <c r="Q27" s="16"/>
      <c r="R27" s="16"/>
      <c r="S27" s="16"/>
      <c r="T27" s="16"/>
      <c r="U27" s="16"/>
      <c r="V27" s="16"/>
      <c r="W27" s="16"/>
      <c r="X27" s="16"/>
      <c r="Y27" s="16"/>
      <c r="Z27" s="16"/>
      <c r="AA27" s="16"/>
      <c r="AB27" s="16"/>
      <c r="AC27" s="16"/>
    </row>
    <row r="28" spans="1:29" x14ac:dyDescent="0.25">
      <c r="J28" s="16"/>
      <c r="K28" s="16"/>
      <c r="L28" s="16"/>
      <c r="M28" s="16"/>
      <c r="N28" s="16"/>
      <c r="O28" s="16"/>
      <c r="P28" s="16"/>
      <c r="Q28" s="16"/>
      <c r="R28" s="16"/>
      <c r="S28" s="16"/>
      <c r="T28" s="16"/>
      <c r="U28" s="16"/>
      <c r="V28" s="16"/>
      <c r="W28" s="16"/>
      <c r="X28" s="16"/>
      <c r="Y28" s="16"/>
      <c r="Z28" s="16"/>
      <c r="AA28" s="16"/>
      <c r="AB28" s="16"/>
      <c r="AC28" s="16"/>
    </row>
    <row r="29" spans="1:29" x14ac:dyDescent="0.25">
      <c r="J29" s="16"/>
      <c r="K29" s="16"/>
      <c r="L29" s="16"/>
      <c r="M29" s="16"/>
      <c r="N29" s="16"/>
      <c r="O29" s="16"/>
      <c r="P29" s="16"/>
      <c r="Q29" s="16"/>
      <c r="R29" s="16"/>
      <c r="S29" s="16"/>
      <c r="T29" s="16"/>
      <c r="U29" s="16"/>
      <c r="V29" s="16"/>
      <c r="W29" s="16"/>
      <c r="X29" s="16"/>
      <c r="Y29" s="16"/>
      <c r="Z29" s="16"/>
      <c r="AA29" s="16"/>
      <c r="AB29" s="16"/>
      <c r="AC29" s="16"/>
    </row>
    <row r="30" spans="1:29" x14ac:dyDescent="0.25">
      <c r="J30" s="16"/>
      <c r="K30" s="16"/>
      <c r="L30" s="16"/>
      <c r="M30" s="16"/>
      <c r="N30" s="16"/>
      <c r="O30" s="16"/>
      <c r="P30" s="16"/>
      <c r="Q30" s="16"/>
      <c r="R30" s="16"/>
      <c r="S30" s="16"/>
      <c r="T30" s="16"/>
      <c r="U30" s="16"/>
      <c r="V30" s="16"/>
      <c r="W30" s="16"/>
      <c r="X30" s="16"/>
      <c r="Y30" s="16"/>
      <c r="Z30" s="16"/>
      <c r="AA30" s="16"/>
      <c r="AB30" s="16"/>
      <c r="AC30" s="16"/>
    </row>
    <row r="31" spans="1:29" x14ac:dyDescent="0.25">
      <c r="J31" s="16"/>
      <c r="K31" s="16"/>
      <c r="L31" s="16"/>
      <c r="M31" s="16"/>
      <c r="N31" s="16"/>
      <c r="O31" s="16"/>
      <c r="P31" s="16"/>
      <c r="Q31" s="16"/>
      <c r="R31" s="16"/>
      <c r="S31" s="16"/>
      <c r="T31" s="16"/>
      <c r="U31" s="16"/>
      <c r="V31" s="16"/>
      <c r="W31" s="16"/>
      <c r="X31" s="16"/>
      <c r="Y31" s="16"/>
      <c r="Z31" s="16"/>
      <c r="AA31" s="16"/>
      <c r="AB31" s="16"/>
      <c r="AC31" s="16"/>
    </row>
    <row r="32" spans="1:29" x14ac:dyDescent="0.25">
      <c r="J32" s="16"/>
      <c r="K32" s="16"/>
      <c r="L32" s="16"/>
      <c r="M32" s="16"/>
      <c r="N32" s="16"/>
      <c r="O32" s="16"/>
      <c r="P32" s="16"/>
      <c r="Q32" s="16"/>
      <c r="R32" s="16"/>
      <c r="S32" s="16"/>
      <c r="T32" s="16"/>
      <c r="U32" s="16"/>
      <c r="V32" s="16"/>
      <c r="W32" s="16"/>
      <c r="X32" s="16"/>
      <c r="Y32" s="16"/>
      <c r="Z32" s="16"/>
      <c r="AA32" s="16"/>
      <c r="AB32" s="16"/>
      <c r="AC32" s="16"/>
    </row>
    <row r="33" spans="10:29" x14ac:dyDescent="0.25">
      <c r="J33" s="16"/>
      <c r="K33" s="16"/>
      <c r="L33" s="16"/>
      <c r="M33" s="16"/>
      <c r="N33" s="16"/>
      <c r="O33" s="16"/>
      <c r="P33" s="16"/>
      <c r="Q33" s="16"/>
      <c r="R33" s="16"/>
      <c r="S33" s="16"/>
      <c r="T33" s="16"/>
      <c r="U33" s="16"/>
      <c r="V33" s="16"/>
      <c r="W33" s="16"/>
      <c r="X33" s="16"/>
      <c r="Y33" s="16"/>
      <c r="Z33" s="16"/>
      <c r="AA33" s="16"/>
      <c r="AB33" s="16"/>
      <c r="AC33" s="16"/>
    </row>
    <row r="34" spans="10:29" x14ac:dyDescent="0.25">
      <c r="J34" s="16"/>
      <c r="K34" s="16"/>
      <c r="L34" s="16"/>
      <c r="M34" s="16"/>
      <c r="N34" s="16"/>
      <c r="O34" s="16"/>
      <c r="P34" s="16"/>
      <c r="Q34" s="16"/>
      <c r="R34" s="16"/>
      <c r="S34" s="16"/>
      <c r="T34" s="16"/>
      <c r="U34" s="16"/>
      <c r="V34" s="16"/>
      <c r="W34" s="16"/>
      <c r="X34" s="16"/>
      <c r="Y34" s="16"/>
      <c r="Z34" s="16"/>
      <c r="AA34" s="16"/>
      <c r="AB34" s="16"/>
      <c r="AC34" s="16"/>
    </row>
    <row r="35" spans="10:29" x14ac:dyDescent="0.25">
      <c r="J35" s="16"/>
      <c r="K35" s="16"/>
      <c r="L35" s="16"/>
      <c r="M35" s="16"/>
      <c r="N35" s="16"/>
      <c r="O35" s="16"/>
      <c r="P35" s="16"/>
      <c r="Q35" s="16"/>
      <c r="R35" s="16"/>
      <c r="S35" s="16"/>
      <c r="T35" s="16"/>
      <c r="U35" s="16"/>
      <c r="V35" s="16"/>
      <c r="W35" s="16"/>
      <c r="X35" s="16"/>
      <c r="Y35" s="16"/>
      <c r="Z35" s="16"/>
      <c r="AA35" s="16"/>
      <c r="AB35" s="16"/>
      <c r="AC35" s="16"/>
    </row>
    <row r="36" spans="10:29" x14ac:dyDescent="0.25">
      <c r="J36" s="16"/>
      <c r="K36" s="16"/>
      <c r="L36" s="16"/>
      <c r="M36" s="16"/>
      <c r="N36" s="16"/>
      <c r="O36" s="16"/>
      <c r="P36" s="16"/>
      <c r="Q36" s="16"/>
      <c r="R36" s="16"/>
      <c r="S36" s="16"/>
      <c r="T36" s="16"/>
      <c r="U36" s="16"/>
      <c r="V36" s="16"/>
      <c r="W36" s="16"/>
      <c r="X36" s="16"/>
      <c r="Y36" s="16"/>
      <c r="Z36" s="16"/>
      <c r="AA36" s="16"/>
      <c r="AB36" s="16"/>
      <c r="AC36" s="16"/>
    </row>
    <row r="37" spans="10:29" x14ac:dyDescent="0.25">
      <c r="J37" s="16"/>
      <c r="K37" s="16"/>
      <c r="L37" s="16"/>
      <c r="M37" s="16"/>
      <c r="N37" s="16"/>
      <c r="O37" s="16"/>
      <c r="P37" s="16"/>
      <c r="Q37" s="16"/>
      <c r="R37" s="16"/>
      <c r="S37" s="16"/>
      <c r="T37" s="16"/>
      <c r="U37" s="16"/>
      <c r="V37" s="16"/>
      <c r="W37" s="16"/>
      <c r="X37" s="16"/>
      <c r="Y37" s="16"/>
      <c r="Z37" s="16"/>
      <c r="AA37" s="16"/>
      <c r="AB37" s="16"/>
      <c r="AC37" s="16"/>
    </row>
    <row r="38" spans="10:29" x14ac:dyDescent="0.25">
      <c r="J38" s="16"/>
      <c r="K38" s="16"/>
      <c r="L38" s="16"/>
      <c r="M38" s="16"/>
      <c r="N38" s="16"/>
      <c r="O38" s="16"/>
      <c r="P38" s="16"/>
      <c r="Q38" s="16"/>
      <c r="R38" s="16"/>
      <c r="S38" s="16"/>
      <c r="T38" s="16"/>
      <c r="U38" s="16"/>
      <c r="V38" s="16"/>
      <c r="W38" s="16"/>
      <c r="X38" s="16"/>
      <c r="Y38" s="16"/>
      <c r="Z38" s="16"/>
      <c r="AA38" s="16"/>
      <c r="AB38" s="16"/>
      <c r="AC38" s="16"/>
    </row>
    <row r="39" spans="10:29" x14ac:dyDescent="0.25">
      <c r="J39" s="16"/>
      <c r="K39" s="16"/>
      <c r="L39" s="16"/>
      <c r="M39" s="16"/>
      <c r="N39" s="16"/>
      <c r="O39" s="16"/>
      <c r="P39" s="16"/>
      <c r="Q39" s="16"/>
      <c r="R39" s="16"/>
      <c r="S39" s="16"/>
      <c r="T39" s="16"/>
      <c r="U39" s="16"/>
      <c r="V39" s="16"/>
      <c r="W39" s="16"/>
      <c r="X39" s="16"/>
      <c r="Y39" s="16"/>
      <c r="Z39" s="16"/>
      <c r="AA39" s="16"/>
      <c r="AB39" s="16"/>
      <c r="AC39" s="16"/>
    </row>
    <row r="40" spans="10:29" x14ac:dyDescent="0.25">
      <c r="J40" s="16"/>
      <c r="K40" s="16"/>
      <c r="L40" s="16"/>
      <c r="M40" s="16"/>
      <c r="N40" s="16"/>
      <c r="O40" s="16"/>
      <c r="P40" s="16"/>
      <c r="Q40" s="16"/>
      <c r="R40" s="16"/>
      <c r="S40" s="16"/>
      <c r="T40" s="16"/>
      <c r="U40" s="16"/>
      <c r="V40" s="16"/>
      <c r="W40" s="16"/>
      <c r="X40" s="16"/>
      <c r="Y40" s="16"/>
      <c r="Z40" s="16"/>
      <c r="AA40" s="16"/>
      <c r="AB40" s="16"/>
      <c r="AC40" s="16"/>
    </row>
    <row r="41" spans="10:29" x14ac:dyDescent="0.25">
      <c r="J41" s="16"/>
      <c r="K41" s="16"/>
      <c r="L41" s="16"/>
      <c r="M41" s="16"/>
      <c r="N41" s="16"/>
      <c r="O41" s="16"/>
      <c r="P41" s="16"/>
      <c r="Q41" s="16"/>
      <c r="R41" s="16"/>
      <c r="S41" s="16"/>
      <c r="T41" s="16"/>
      <c r="U41" s="16"/>
      <c r="V41" s="16"/>
      <c r="W41" s="16"/>
      <c r="X41" s="16"/>
      <c r="Y41" s="16"/>
      <c r="Z41" s="16"/>
      <c r="AA41" s="16"/>
      <c r="AB41" s="16"/>
      <c r="AC41" s="16"/>
    </row>
    <row r="42" spans="10:29" x14ac:dyDescent="0.25">
      <c r="J42" s="16"/>
      <c r="K42" s="16"/>
      <c r="L42" s="16"/>
      <c r="M42" s="16"/>
      <c r="N42" s="16"/>
      <c r="O42" s="16"/>
      <c r="P42" s="16"/>
      <c r="Q42" s="16"/>
      <c r="R42" s="16"/>
      <c r="S42" s="16"/>
      <c r="T42" s="16"/>
      <c r="U42" s="16"/>
      <c r="V42" s="16"/>
      <c r="W42" s="16"/>
      <c r="X42" s="16"/>
      <c r="Y42" s="16"/>
      <c r="Z42" s="16"/>
      <c r="AA42" s="16"/>
      <c r="AB42" s="16"/>
      <c r="AC42" s="16"/>
    </row>
    <row r="43" spans="10:29" x14ac:dyDescent="0.25">
      <c r="J43" s="16"/>
      <c r="K43" s="16"/>
      <c r="L43" s="16"/>
      <c r="M43" s="16"/>
      <c r="N43" s="16"/>
      <c r="O43" s="16"/>
      <c r="P43" s="16"/>
      <c r="Q43" s="16"/>
      <c r="R43" s="16"/>
      <c r="S43" s="16"/>
      <c r="T43" s="16"/>
      <c r="U43" s="16"/>
      <c r="V43" s="16"/>
      <c r="W43" s="16"/>
      <c r="X43" s="16"/>
      <c r="Y43" s="16"/>
      <c r="Z43" s="16"/>
      <c r="AA43" s="16"/>
      <c r="AB43" s="16"/>
      <c r="AC43" s="16"/>
    </row>
    <row r="44" spans="10:29" x14ac:dyDescent="0.25">
      <c r="J44" s="16"/>
      <c r="K44" s="16"/>
      <c r="L44" s="16"/>
      <c r="M44" s="16"/>
      <c r="N44" s="16"/>
      <c r="O44" s="16"/>
      <c r="P44" s="16"/>
      <c r="Q44" s="16"/>
      <c r="R44" s="16"/>
      <c r="S44" s="16"/>
      <c r="T44" s="16"/>
      <c r="U44" s="16"/>
      <c r="V44" s="16"/>
      <c r="W44" s="16"/>
      <c r="X44" s="16"/>
      <c r="Y44" s="16"/>
      <c r="Z44" s="16"/>
      <c r="AA44" s="16"/>
      <c r="AB44" s="16"/>
      <c r="AC44" s="16"/>
    </row>
    <row r="45" spans="10:29" x14ac:dyDescent="0.25">
      <c r="J45" s="16"/>
      <c r="K45" s="16"/>
      <c r="L45" s="16"/>
      <c r="M45" s="16"/>
      <c r="N45" s="16"/>
      <c r="O45" s="16"/>
      <c r="P45" s="16"/>
      <c r="Q45" s="16"/>
      <c r="R45" s="16"/>
      <c r="S45" s="16"/>
      <c r="T45" s="16"/>
      <c r="U45" s="16"/>
      <c r="V45" s="16"/>
      <c r="W45" s="16"/>
      <c r="X45" s="16"/>
      <c r="Y45" s="16"/>
      <c r="Z45" s="16"/>
      <c r="AA45" s="16"/>
      <c r="AB45" s="16"/>
      <c r="AC45" s="16"/>
    </row>
    <row r="46" spans="10:29" x14ac:dyDescent="0.25">
      <c r="J46" s="16"/>
      <c r="K46" s="16"/>
      <c r="L46" s="16"/>
      <c r="M46" s="16"/>
      <c r="N46" s="16"/>
      <c r="O46" s="16"/>
      <c r="P46" s="16"/>
      <c r="Q46" s="16"/>
      <c r="R46" s="16"/>
      <c r="S46" s="16"/>
      <c r="T46" s="16"/>
      <c r="U46" s="16"/>
      <c r="V46" s="16"/>
      <c r="W46" s="16"/>
      <c r="X46" s="16"/>
      <c r="Y46" s="16"/>
      <c r="Z46" s="16"/>
      <c r="AA46" s="16"/>
      <c r="AB46" s="16"/>
      <c r="AC46" s="16"/>
    </row>
    <row r="47" spans="10:29" x14ac:dyDescent="0.25">
      <c r="J47" s="16"/>
      <c r="K47" s="16"/>
      <c r="L47" s="16"/>
      <c r="M47" s="16"/>
      <c r="N47" s="16"/>
      <c r="O47" s="16"/>
      <c r="P47" s="16"/>
      <c r="Q47" s="16"/>
      <c r="R47" s="16"/>
      <c r="S47" s="16"/>
      <c r="T47" s="16"/>
      <c r="U47" s="16"/>
      <c r="V47" s="16"/>
      <c r="W47" s="16"/>
      <c r="X47" s="16"/>
      <c r="Y47" s="16"/>
      <c r="Z47" s="16"/>
      <c r="AA47" s="16"/>
      <c r="AB47" s="16"/>
      <c r="AC47" s="16"/>
    </row>
    <row r="48" spans="10:29" x14ac:dyDescent="0.25">
      <c r="J48" s="16"/>
      <c r="K48" s="16"/>
      <c r="L48" s="16"/>
      <c r="M48" s="16"/>
      <c r="N48" s="16"/>
      <c r="O48" s="16"/>
      <c r="P48" s="16"/>
      <c r="Q48" s="16"/>
      <c r="R48" s="16"/>
      <c r="S48" s="16"/>
      <c r="T48" s="16"/>
      <c r="U48" s="16"/>
      <c r="V48" s="16"/>
      <c r="W48" s="16"/>
      <c r="X48" s="16"/>
      <c r="Y48" s="16"/>
      <c r="Z48" s="16"/>
      <c r="AA48" s="16"/>
      <c r="AB48" s="16"/>
      <c r="AC48" s="16"/>
    </row>
    <row r="49" spans="10:29" x14ac:dyDescent="0.25">
      <c r="J49" s="16"/>
      <c r="K49" s="16"/>
      <c r="L49" s="16"/>
      <c r="M49" s="16"/>
      <c r="N49" s="16"/>
      <c r="O49" s="16"/>
      <c r="P49" s="16"/>
      <c r="Q49" s="16"/>
      <c r="R49" s="16"/>
      <c r="S49" s="16"/>
      <c r="T49" s="16"/>
      <c r="U49" s="16"/>
      <c r="V49" s="16"/>
      <c r="W49" s="16"/>
      <c r="X49" s="16"/>
      <c r="Y49" s="16"/>
      <c r="Z49" s="16"/>
      <c r="AA49" s="16"/>
      <c r="AB49" s="16"/>
      <c r="AC49" s="16"/>
    </row>
    <row r="50" spans="10:29" x14ac:dyDescent="0.25">
      <c r="J50" s="16"/>
      <c r="K50" s="16"/>
      <c r="L50" s="16"/>
      <c r="M50" s="16"/>
      <c r="N50" s="16"/>
      <c r="O50" s="16"/>
      <c r="P50" s="16"/>
      <c r="Q50" s="16"/>
      <c r="R50" s="16"/>
      <c r="S50" s="16"/>
      <c r="T50" s="16"/>
      <c r="U50" s="16"/>
      <c r="V50" s="16"/>
      <c r="W50" s="16"/>
      <c r="X50" s="16"/>
      <c r="Y50" s="16"/>
      <c r="Z50" s="16"/>
      <c r="AA50" s="16"/>
      <c r="AB50" s="16"/>
      <c r="AC50" s="16"/>
    </row>
    <row r="51" spans="10:29" x14ac:dyDescent="0.25">
      <c r="J51" s="16"/>
      <c r="K51" s="16"/>
      <c r="L51" s="16"/>
      <c r="M51" s="16"/>
      <c r="N51" s="16"/>
      <c r="O51" s="16"/>
      <c r="P51" s="16"/>
      <c r="Q51" s="16"/>
      <c r="R51" s="16"/>
      <c r="S51" s="16"/>
      <c r="T51" s="16"/>
      <c r="U51" s="16"/>
      <c r="V51" s="16"/>
      <c r="W51" s="16"/>
      <c r="X51" s="16"/>
      <c r="Y51" s="16"/>
      <c r="Z51" s="16"/>
      <c r="AA51" s="16"/>
      <c r="AB51" s="16"/>
      <c r="AC51" s="16"/>
    </row>
    <row r="52" spans="10:29" x14ac:dyDescent="0.25">
      <c r="J52" s="16"/>
      <c r="K52" s="16"/>
      <c r="L52" s="16"/>
      <c r="M52" s="16"/>
      <c r="N52" s="16"/>
      <c r="O52" s="16"/>
      <c r="P52" s="16"/>
      <c r="Q52" s="16"/>
      <c r="R52" s="16"/>
      <c r="S52" s="16"/>
      <c r="T52" s="16"/>
      <c r="U52" s="16"/>
      <c r="V52" s="16"/>
      <c r="W52" s="16"/>
      <c r="X52" s="16"/>
      <c r="Y52" s="16"/>
      <c r="Z52" s="16"/>
      <c r="AA52" s="16"/>
      <c r="AB52" s="16"/>
      <c r="AC52" s="16"/>
    </row>
    <row r="53" spans="10:29" x14ac:dyDescent="0.25">
      <c r="J53" s="16"/>
      <c r="K53" s="16"/>
      <c r="L53" s="16"/>
      <c r="M53" s="16"/>
      <c r="N53" s="16"/>
      <c r="O53" s="16"/>
      <c r="P53" s="16"/>
      <c r="Q53" s="16"/>
      <c r="R53" s="16"/>
      <c r="S53" s="16"/>
      <c r="T53" s="16"/>
      <c r="U53" s="16"/>
      <c r="V53" s="16"/>
      <c r="W53" s="16"/>
      <c r="X53" s="16"/>
      <c r="Y53" s="16"/>
      <c r="Z53" s="16"/>
      <c r="AA53" s="16"/>
      <c r="AB53" s="16"/>
      <c r="AC53" s="16"/>
    </row>
    <row r="54" spans="10:29" x14ac:dyDescent="0.25">
      <c r="J54" s="16"/>
      <c r="K54" s="16"/>
      <c r="L54" s="16"/>
      <c r="M54" s="16"/>
      <c r="N54" s="16"/>
      <c r="O54" s="16"/>
      <c r="P54" s="16"/>
      <c r="Q54" s="16"/>
      <c r="R54" s="16"/>
      <c r="S54" s="16"/>
      <c r="T54" s="16"/>
      <c r="U54" s="16"/>
      <c r="V54" s="16"/>
      <c r="W54" s="16"/>
      <c r="X54" s="16"/>
      <c r="Y54" s="16"/>
      <c r="Z54" s="16"/>
      <c r="AA54" s="16"/>
      <c r="AB54" s="16"/>
      <c r="AC54" s="16"/>
    </row>
    <row r="55" spans="10:29" x14ac:dyDescent="0.25">
      <c r="J55" s="16"/>
      <c r="K55" s="16"/>
      <c r="L55" s="16"/>
      <c r="M55" s="16"/>
      <c r="N55" s="16"/>
      <c r="O55" s="16"/>
      <c r="P55" s="16"/>
      <c r="Q55" s="16"/>
      <c r="R55" s="16"/>
      <c r="S55" s="16"/>
      <c r="T55" s="16"/>
      <c r="U55" s="16"/>
      <c r="V55" s="16"/>
      <c r="W55" s="16"/>
      <c r="X55" s="16"/>
      <c r="Y55" s="16"/>
      <c r="Z55" s="16"/>
      <c r="AA55" s="16"/>
      <c r="AB55" s="16"/>
      <c r="AC55" s="16"/>
    </row>
    <row r="56" spans="10:29" x14ac:dyDescent="0.25">
      <c r="J56" s="16"/>
      <c r="K56" s="16"/>
      <c r="L56" s="16"/>
      <c r="M56" s="16"/>
      <c r="N56" s="16"/>
      <c r="O56" s="16"/>
      <c r="P56" s="16"/>
      <c r="Q56" s="16"/>
      <c r="R56" s="16"/>
      <c r="S56" s="16"/>
      <c r="T56" s="16"/>
      <c r="U56" s="16"/>
      <c r="V56" s="16"/>
      <c r="W56" s="16"/>
      <c r="X56" s="16"/>
      <c r="Y56" s="16"/>
      <c r="Z56" s="16"/>
      <c r="AA56" s="16"/>
      <c r="AB56" s="16"/>
      <c r="AC56" s="16"/>
    </row>
    <row r="57" spans="10:29" x14ac:dyDescent="0.25">
      <c r="J57" s="16"/>
      <c r="K57" s="16"/>
      <c r="L57" s="16"/>
      <c r="M57" s="16"/>
      <c r="N57" s="16"/>
      <c r="O57" s="16"/>
      <c r="P57" s="16"/>
      <c r="Q57" s="16"/>
      <c r="R57" s="16"/>
      <c r="S57" s="16"/>
      <c r="T57" s="16"/>
      <c r="U57" s="16"/>
      <c r="V57" s="16"/>
      <c r="W57" s="16"/>
      <c r="X57" s="16"/>
      <c r="Y57" s="16"/>
      <c r="Z57" s="16"/>
      <c r="AA57" s="16"/>
      <c r="AB57" s="16"/>
      <c r="AC57" s="16"/>
    </row>
    <row r="58" spans="10:29" x14ac:dyDescent="0.25">
      <c r="J58" s="16"/>
      <c r="K58" s="16"/>
      <c r="L58" s="16"/>
      <c r="M58" s="16"/>
      <c r="N58" s="16"/>
      <c r="O58" s="16"/>
      <c r="P58" s="16"/>
      <c r="Q58" s="16"/>
      <c r="R58" s="16"/>
      <c r="S58" s="16"/>
      <c r="T58" s="16"/>
      <c r="U58" s="16"/>
      <c r="V58" s="16"/>
      <c r="W58" s="16"/>
      <c r="X58" s="16"/>
      <c r="Y58" s="16"/>
      <c r="Z58" s="16"/>
      <c r="AA58" s="16"/>
      <c r="AB58" s="16"/>
      <c r="AC58" s="16"/>
    </row>
    <row r="59" spans="10:29" x14ac:dyDescent="0.25">
      <c r="J59" s="16"/>
      <c r="K59" s="16"/>
      <c r="L59" s="16"/>
      <c r="M59" s="16"/>
      <c r="N59" s="16"/>
      <c r="O59" s="16"/>
      <c r="P59" s="16"/>
      <c r="Q59" s="16"/>
      <c r="R59" s="16"/>
      <c r="S59" s="16"/>
      <c r="T59" s="16"/>
      <c r="U59" s="16"/>
      <c r="V59" s="16"/>
      <c r="W59" s="16"/>
      <c r="X59" s="16"/>
      <c r="Y59" s="16"/>
      <c r="Z59" s="16"/>
      <c r="AA59" s="16"/>
      <c r="AB59" s="16"/>
      <c r="AC59" s="16"/>
    </row>
    <row r="60" spans="10:29" x14ac:dyDescent="0.25">
      <c r="J60" s="16"/>
      <c r="K60" s="16"/>
      <c r="L60" s="16"/>
      <c r="M60" s="16"/>
      <c r="N60" s="16"/>
      <c r="O60" s="16"/>
      <c r="P60" s="16"/>
      <c r="Q60" s="16"/>
      <c r="R60" s="16"/>
      <c r="S60" s="16"/>
      <c r="T60" s="16"/>
      <c r="U60" s="16"/>
      <c r="V60" s="16"/>
      <c r="W60" s="16"/>
      <c r="X60" s="16"/>
      <c r="Y60" s="16"/>
      <c r="Z60" s="16"/>
      <c r="AA60" s="16"/>
      <c r="AB60" s="16"/>
      <c r="AC60" s="16"/>
    </row>
    <row r="61" spans="10:29" x14ac:dyDescent="0.25">
      <c r="J61" s="16"/>
      <c r="K61" s="16"/>
      <c r="L61" s="16"/>
      <c r="M61" s="16"/>
      <c r="N61" s="16"/>
      <c r="O61" s="16"/>
      <c r="P61" s="16"/>
      <c r="Q61" s="16"/>
      <c r="R61" s="16"/>
      <c r="S61" s="16"/>
      <c r="T61" s="16"/>
      <c r="U61" s="16"/>
      <c r="V61" s="16"/>
      <c r="W61" s="16"/>
      <c r="X61" s="16"/>
      <c r="Y61" s="16"/>
      <c r="Z61" s="16"/>
      <c r="AA61" s="16"/>
      <c r="AB61" s="16"/>
      <c r="AC61" s="16"/>
    </row>
    <row r="62" spans="10:29" x14ac:dyDescent="0.25">
      <c r="J62" s="16"/>
      <c r="K62" s="16"/>
      <c r="L62" s="16"/>
      <c r="M62" s="16"/>
      <c r="N62" s="16"/>
      <c r="O62" s="16"/>
      <c r="P62" s="16"/>
      <c r="Q62" s="16"/>
      <c r="R62" s="16"/>
      <c r="S62" s="16"/>
      <c r="T62" s="16"/>
      <c r="U62" s="16"/>
      <c r="V62" s="16"/>
      <c r="W62" s="16"/>
      <c r="X62" s="16"/>
      <c r="Y62" s="16"/>
      <c r="Z62" s="16"/>
      <c r="AA62" s="16"/>
      <c r="AB62" s="16"/>
      <c r="AC62" s="16"/>
    </row>
    <row r="63" spans="10:29" x14ac:dyDescent="0.25">
      <c r="J63" s="16"/>
      <c r="K63" s="16"/>
      <c r="L63" s="16"/>
      <c r="M63" s="16"/>
      <c r="N63" s="16"/>
      <c r="O63" s="16"/>
      <c r="P63" s="16"/>
      <c r="Q63" s="16"/>
      <c r="R63" s="16"/>
      <c r="S63" s="16"/>
      <c r="T63" s="16"/>
      <c r="U63" s="16"/>
      <c r="V63" s="16"/>
      <c r="W63" s="16"/>
      <c r="X63" s="16"/>
      <c r="Y63" s="16"/>
      <c r="Z63" s="16"/>
      <c r="AA63" s="16"/>
      <c r="AB63" s="16"/>
      <c r="AC63" s="16"/>
    </row>
    <row r="64" spans="10:29" x14ac:dyDescent="0.25">
      <c r="J64" s="16"/>
      <c r="K64" s="16"/>
      <c r="L64" s="16"/>
      <c r="M64" s="16"/>
      <c r="N64" s="16"/>
      <c r="O64" s="16"/>
      <c r="P64" s="16"/>
      <c r="Q64" s="16"/>
      <c r="R64" s="16"/>
      <c r="S64" s="16"/>
      <c r="T64" s="16"/>
      <c r="U64" s="16"/>
      <c r="V64" s="16"/>
      <c r="W64" s="16"/>
      <c r="X64" s="16"/>
      <c r="Y64" s="16"/>
      <c r="Z64" s="16"/>
      <c r="AA64" s="16"/>
      <c r="AB64" s="16"/>
      <c r="AC64" s="16"/>
    </row>
    <row r="65" spans="10:29" x14ac:dyDescent="0.25">
      <c r="J65" s="16"/>
      <c r="K65" s="16"/>
      <c r="L65" s="16"/>
      <c r="M65" s="16"/>
      <c r="N65" s="16"/>
      <c r="O65" s="16"/>
      <c r="P65" s="16"/>
      <c r="Q65" s="16"/>
      <c r="R65" s="16"/>
      <c r="S65" s="16"/>
      <c r="T65" s="16"/>
      <c r="U65" s="16"/>
      <c r="V65" s="16"/>
      <c r="W65" s="16"/>
      <c r="X65" s="16"/>
      <c r="Y65" s="16"/>
      <c r="Z65" s="16"/>
      <c r="AA65" s="16"/>
      <c r="AB65" s="16"/>
      <c r="AC65" s="16"/>
    </row>
    <row r="66" spans="10:29" x14ac:dyDescent="0.25">
      <c r="J66" s="16"/>
      <c r="K66" s="16"/>
      <c r="L66" s="16"/>
      <c r="M66" s="16"/>
      <c r="N66" s="16"/>
      <c r="O66" s="16"/>
      <c r="P66" s="16"/>
      <c r="Q66" s="16"/>
      <c r="R66" s="16"/>
      <c r="S66" s="16"/>
      <c r="T66" s="16"/>
      <c r="U66" s="16"/>
      <c r="V66" s="16"/>
      <c r="W66" s="16"/>
      <c r="X66" s="16"/>
      <c r="Y66" s="16"/>
      <c r="Z66" s="16"/>
      <c r="AA66" s="16"/>
      <c r="AB66" s="16"/>
      <c r="AC66" s="16"/>
    </row>
    <row r="67" spans="10:29" x14ac:dyDescent="0.25">
      <c r="J67" s="16"/>
      <c r="K67" s="16"/>
      <c r="L67" s="16"/>
      <c r="M67" s="16"/>
      <c r="N67" s="16"/>
      <c r="O67" s="16"/>
      <c r="P67" s="16"/>
      <c r="Q67" s="16"/>
      <c r="R67" s="16"/>
      <c r="S67" s="16"/>
      <c r="T67" s="16"/>
      <c r="U67" s="16"/>
      <c r="V67" s="16"/>
      <c r="W67" s="16"/>
      <c r="X67" s="16"/>
      <c r="Y67" s="16"/>
      <c r="Z67" s="16"/>
      <c r="AA67" s="16"/>
      <c r="AB67" s="16"/>
      <c r="AC67" s="16"/>
    </row>
    <row r="68" spans="10:29" x14ac:dyDescent="0.25">
      <c r="J68" s="16"/>
      <c r="K68" s="16"/>
      <c r="L68" s="16"/>
      <c r="M68" s="16"/>
      <c r="N68" s="16"/>
      <c r="O68" s="16"/>
      <c r="P68" s="16"/>
      <c r="Q68" s="16"/>
      <c r="R68" s="16"/>
      <c r="S68" s="16"/>
      <c r="T68" s="16"/>
      <c r="U68" s="16"/>
      <c r="V68" s="16"/>
      <c r="W68" s="16"/>
      <c r="X68" s="16"/>
      <c r="Y68" s="16"/>
      <c r="Z68" s="16"/>
      <c r="AA68" s="16"/>
      <c r="AB68" s="16"/>
      <c r="AC68" s="16"/>
    </row>
    <row r="69" spans="10:29" x14ac:dyDescent="0.25">
      <c r="J69" s="16"/>
      <c r="K69" s="16"/>
      <c r="L69" s="16"/>
      <c r="M69" s="16"/>
      <c r="N69" s="16"/>
      <c r="O69" s="16"/>
      <c r="P69" s="16"/>
      <c r="Q69" s="16"/>
      <c r="R69" s="16"/>
      <c r="S69" s="16"/>
      <c r="T69" s="16"/>
      <c r="U69" s="16"/>
      <c r="V69" s="16"/>
      <c r="W69" s="16"/>
      <c r="X69" s="16"/>
      <c r="Y69" s="16"/>
      <c r="Z69" s="16"/>
      <c r="AA69" s="16"/>
      <c r="AB69" s="16"/>
      <c r="AC69" s="16"/>
    </row>
    <row r="70" spans="10:29" x14ac:dyDescent="0.25">
      <c r="J70" s="16"/>
      <c r="K70" s="16"/>
      <c r="L70" s="16"/>
      <c r="M70" s="16"/>
      <c r="N70" s="16"/>
      <c r="O70" s="16"/>
      <c r="P70" s="16"/>
      <c r="Q70" s="16"/>
      <c r="R70" s="16"/>
      <c r="S70" s="16"/>
      <c r="T70" s="16"/>
      <c r="U70" s="16"/>
      <c r="V70" s="16"/>
      <c r="W70" s="16"/>
      <c r="X70" s="16"/>
      <c r="Y70" s="16"/>
      <c r="Z70" s="16"/>
      <c r="AA70" s="16"/>
      <c r="AB70" s="16"/>
      <c r="AC70" s="16"/>
    </row>
    <row r="71" spans="10:29" x14ac:dyDescent="0.25">
      <c r="J71" s="16"/>
      <c r="K71" s="16"/>
      <c r="L71" s="16"/>
      <c r="M71" s="16"/>
      <c r="N71" s="16"/>
      <c r="O71" s="16"/>
      <c r="P71" s="16"/>
      <c r="Q71" s="16"/>
      <c r="R71" s="16"/>
      <c r="S71" s="16"/>
      <c r="T71" s="16"/>
      <c r="U71" s="16"/>
      <c r="V71" s="16"/>
      <c r="W71" s="16"/>
      <c r="X71" s="16"/>
      <c r="Y71" s="16"/>
      <c r="Z71" s="16"/>
      <c r="AA71" s="16"/>
      <c r="AB71" s="16"/>
      <c r="AC71" s="16"/>
    </row>
    <row r="72" spans="10:29" x14ac:dyDescent="0.25">
      <c r="J72" s="16"/>
      <c r="K72" s="16"/>
      <c r="L72" s="16"/>
      <c r="M72" s="16"/>
      <c r="N72" s="16"/>
      <c r="O72" s="16"/>
      <c r="P72" s="16"/>
      <c r="Q72" s="16"/>
      <c r="R72" s="16"/>
      <c r="S72" s="16"/>
      <c r="T72" s="16"/>
      <c r="U72" s="16"/>
      <c r="V72" s="16"/>
      <c r="W72" s="16"/>
      <c r="X72" s="16"/>
      <c r="Y72" s="16"/>
      <c r="Z72" s="16"/>
      <c r="AA72" s="16"/>
      <c r="AB72" s="16"/>
      <c r="AC72" s="16"/>
    </row>
    <row r="73" spans="10:29" x14ac:dyDescent="0.25">
      <c r="J73" s="16"/>
      <c r="K73" s="16"/>
      <c r="L73" s="16"/>
      <c r="M73" s="16"/>
      <c r="N73" s="16"/>
      <c r="O73" s="16"/>
      <c r="P73" s="16"/>
      <c r="Q73" s="16"/>
      <c r="R73" s="16"/>
      <c r="S73" s="16"/>
      <c r="T73" s="16"/>
      <c r="U73" s="16"/>
      <c r="V73" s="16"/>
      <c r="W73" s="16"/>
      <c r="X73" s="16"/>
      <c r="Y73" s="16"/>
      <c r="Z73" s="16"/>
      <c r="AA73" s="16"/>
      <c r="AB73" s="16"/>
      <c r="AC73" s="16"/>
    </row>
    <row r="74" spans="10:29" x14ac:dyDescent="0.25">
      <c r="J74" s="16"/>
      <c r="K74" s="16"/>
      <c r="L74" s="16"/>
      <c r="M74" s="16"/>
      <c r="N74" s="16"/>
      <c r="O74" s="16"/>
      <c r="P74" s="16"/>
      <c r="Q74" s="16"/>
      <c r="R74" s="16"/>
      <c r="S74" s="16"/>
      <c r="T74" s="16"/>
      <c r="U74" s="16"/>
      <c r="V74" s="16"/>
      <c r="W74" s="16"/>
      <c r="X74" s="16"/>
      <c r="Y74" s="16"/>
      <c r="Z74" s="16"/>
      <c r="AA74" s="16"/>
      <c r="AB74" s="16"/>
      <c r="AC74" s="16"/>
    </row>
    <row r="75" spans="10:29" x14ac:dyDescent="0.25">
      <c r="J75" s="16"/>
      <c r="K75" s="16"/>
      <c r="L75" s="16"/>
      <c r="M75" s="16"/>
      <c r="N75" s="16"/>
      <c r="O75" s="16"/>
      <c r="P75" s="16"/>
      <c r="Q75" s="16"/>
      <c r="R75" s="16"/>
      <c r="S75" s="16"/>
      <c r="T75" s="16"/>
      <c r="U75" s="16"/>
      <c r="V75" s="16"/>
      <c r="W75" s="16"/>
      <c r="X75" s="16"/>
      <c r="Y75" s="16"/>
      <c r="Z75" s="16"/>
      <c r="AA75" s="16"/>
      <c r="AB75" s="16"/>
      <c r="AC75" s="16"/>
    </row>
    <row r="76" spans="10:29" x14ac:dyDescent="0.25">
      <c r="J76" s="16"/>
      <c r="K76" s="16"/>
      <c r="L76" s="16"/>
      <c r="M76" s="16"/>
      <c r="N76" s="16"/>
      <c r="O76" s="16"/>
      <c r="P76" s="16"/>
      <c r="Q76" s="16"/>
      <c r="R76" s="16"/>
      <c r="S76" s="16"/>
      <c r="T76" s="16"/>
      <c r="U76" s="16"/>
      <c r="V76" s="16"/>
      <c r="W76" s="16"/>
      <c r="X76" s="16"/>
      <c r="Y76" s="16"/>
      <c r="Z76" s="16"/>
      <c r="AA76" s="16"/>
      <c r="AB76" s="16"/>
      <c r="AC76" s="16"/>
    </row>
    <row r="77" spans="10:29" x14ac:dyDescent="0.25">
      <c r="J77" s="16"/>
      <c r="K77" s="16"/>
      <c r="L77" s="16"/>
      <c r="M77" s="16"/>
      <c r="N77" s="16"/>
      <c r="O77" s="16"/>
      <c r="P77" s="16"/>
      <c r="Q77" s="16"/>
      <c r="R77" s="16"/>
      <c r="S77" s="16"/>
      <c r="T77" s="16"/>
      <c r="U77" s="16"/>
      <c r="V77" s="16"/>
      <c r="W77" s="16"/>
      <c r="X77" s="16"/>
      <c r="Y77" s="16"/>
      <c r="Z77" s="16"/>
      <c r="AA77" s="16"/>
      <c r="AB77" s="16"/>
      <c r="AC77" s="16"/>
    </row>
    <row r="78" spans="10:29" x14ac:dyDescent="0.25">
      <c r="J78" s="16"/>
      <c r="K78" s="16"/>
      <c r="L78" s="16"/>
      <c r="M78" s="16"/>
      <c r="N78" s="16"/>
      <c r="O78" s="16"/>
      <c r="P78" s="16"/>
      <c r="Q78" s="16"/>
      <c r="R78" s="16"/>
      <c r="S78" s="16"/>
      <c r="T78" s="16"/>
      <c r="U78" s="16"/>
      <c r="V78" s="16"/>
      <c r="W78" s="16"/>
      <c r="X78" s="16"/>
      <c r="Y78" s="16"/>
      <c r="Z78" s="16"/>
      <c r="AA78" s="16"/>
      <c r="AB78" s="16"/>
      <c r="AC78" s="16"/>
    </row>
    <row r="79" spans="10:29" x14ac:dyDescent="0.25">
      <c r="J79" s="16"/>
      <c r="K79" s="16"/>
      <c r="L79" s="16"/>
      <c r="M79" s="16"/>
      <c r="N79" s="16"/>
      <c r="O79" s="16"/>
      <c r="P79" s="16"/>
      <c r="Q79" s="16"/>
      <c r="R79" s="16"/>
      <c r="S79" s="16"/>
      <c r="T79" s="16"/>
      <c r="U79" s="16"/>
      <c r="V79" s="16"/>
      <c r="W79" s="16"/>
      <c r="X79" s="16"/>
      <c r="Y79" s="16"/>
      <c r="Z79" s="16"/>
      <c r="AA79" s="16"/>
      <c r="AB79" s="16"/>
      <c r="AC79" s="16"/>
    </row>
    <row r="80" spans="10:29" x14ac:dyDescent="0.25">
      <c r="J80" s="16"/>
      <c r="K80" s="16"/>
      <c r="L80" s="16"/>
      <c r="M80" s="16"/>
      <c r="N80" s="16"/>
      <c r="O80" s="16"/>
      <c r="P80" s="16"/>
      <c r="Q80" s="16"/>
      <c r="R80" s="16"/>
      <c r="S80" s="16"/>
      <c r="T80" s="16"/>
      <c r="U80" s="16"/>
      <c r="V80" s="16"/>
      <c r="W80" s="16"/>
      <c r="X80" s="16"/>
      <c r="Y80" s="16"/>
      <c r="Z80" s="16"/>
      <c r="AA80" s="16"/>
      <c r="AB80" s="16"/>
      <c r="AC80" s="16"/>
    </row>
    <row r="81" spans="10:29" x14ac:dyDescent="0.25">
      <c r="J81" s="16"/>
      <c r="K81" s="16"/>
      <c r="L81" s="16"/>
      <c r="M81" s="16"/>
      <c r="N81" s="16"/>
      <c r="O81" s="16"/>
      <c r="P81" s="16"/>
      <c r="Q81" s="16"/>
      <c r="R81" s="16"/>
      <c r="S81" s="16"/>
      <c r="T81" s="16"/>
      <c r="U81" s="16"/>
      <c r="V81" s="16"/>
      <c r="W81" s="16"/>
      <c r="X81" s="16"/>
      <c r="Y81" s="16"/>
      <c r="Z81" s="16"/>
      <c r="AA81" s="16"/>
      <c r="AB81" s="16"/>
      <c r="AC81" s="16"/>
    </row>
    <row r="82" spans="10:29" x14ac:dyDescent="0.25">
      <c r="J82" s="16"/>
      <c r="K82" s="16"/>
      <c r="L82" s="16"/>
      <c r="M82" s="16"/>
      <c r="N82" s="16"/>
      <c r="O82" s="16"/>
      <c r="P82" s="16"/>
      <c r="Q82" s="16"/>
      <c r="R82" s="16"/>
      <c r="S82" s="16"/>
      <c r="T82" s="16"/>
      <c r="U82" s="16"/>
      <c r="V82" s="16"/>
      <c r="W82" s="16"/>
      <c r="X82" s="16"/>
      <c r="Y82" s="16"/>
      <c r="Z82" s="16"/>
      <c r="AA82" s="16"/>
      <c r="AB82" s="16"/>
      <c r="AC82" s="16"/>
    </row>
    <row r="83" spans="10:29" x14ac:dyDescent="0.25">
      <c r="J83" s="16"/>
      <c r="K83" s="16"/>
      <c r="L83" s="16"/>
      <c r="M83" s="16"/>
      <c r="N83" s="16"/>
      <c r="O83" s="16"/>
      <c r="P83" s="16"/>
      <c r="Q83" s="16"/>
      <c r="R83" s="16"/>
      <c r="S83" s="16"/>
      <c r="T83" s="16"/>
      <c r="U83" s="16"/>
      <c r="V83" s="16"/>
      <c r="W83" s="16"/>
      <c r="X83" s="16"/>
      <c r="Y83" s="16"/>
      <c r="Z83" s="16"/>
      <c r="AA83" s="16"/>
      <c r="AB83" s="16"/>
      <c r="AC83" s="16"/>
    </row>
    <row r="84" spans="10:29" x14ac:dyDescent="0.25">
      <c r="J84" s="16"/>
      <c r="K84" s="16"/>
      <c r="L84" s="16"/>
      <c r="M84" s="16"/>
      <c r="N84" s="16"/>
      <c r="O84" s="16"/>
      <c r="P84" s="16"/>
      <c r="Q84" s="16"/>
      <c r="R84" s="16"/>
      <c r="S84" s="16"/>
      <c r="T84" s="16"/>
      <c r="U84" s="16"/>
      <c r="V84" s="16"/>
      <c r="W84" s="16"/>
      <c r="X84" s="16"/>
      <c r="Y84" s="16"/>
      <c r="Z84" s="16"/>
      <c r="AA84" s="16"/>
      <c r="AB84" s="16"/>
      <c r="AC84" s="16"/>
    </row>
    <row r="85" spans="10:29" x14ac:dyDescent="0.25">
      <c r="J85" s="16"/>
      <c r="K85" s="16"/>
      <c r="L85" s="16"/>
      <c r="M85" s="16"/>
      <c r="N85" s="16"/>
      <c r="O85" s="16"/>
      <c r="P85" s="16"/>
      <c r="Q85" s="16"/>
      <c r="R85" s="16"/>
      <c r="S85" s="16"/>
      <c r="T85" s="16"/>
      <c r="U85" s="16"/>
      <c r="V85" s="16"/>
      <c r="W85" s="16"/>
      <c r="X85" s="16"/>
      <c r="Y85" s="16"/>
      <c r="Z85" s="16"/>
      <c r="AA85" s="16"/>
      <c r="AB85" s="16"/>
      <c r="AC85" s="16"/>
    </row>
    <row r="86" spans="10:29" x14ac:dyDescent="0.25">
      <c r="J86" s="16"/>
      <c r="K86" s="16"/>
      <c r="L86" s="16"/>
      <c r="M86" s="16"/>
      <c r="N86" s="16"/>
      <c r="O86" s="16"/>
      <c r="P86" s="16"/>
      <c r="Q86" s="16"/>
      <c r="R86" s="16"/>
      <c r="S86" s="16"/>
      <c r="T86" s="16"/>
      <c r="U86" s="16"/>
      <c r="V86" s="16"/>
      <c r="W86" s="16"/>
      <c r="X86" s="16"/>
      <c r="Y86" s="16"/>
      <c r="Z86" s="16"/>
      <c r="AA86" s="16"/>
      <c r="AB86" s="16"/>
      <c r="AC86" s="16"/>
    </row>
    <row r="87" spans="10:29" x14ac:dyDescent="0.25">
      <c r="J87" s="16"/>
      <c r="K87" s="16"/>
      <c r="L87" s="16"/>
      <c r="M87" s="16"/>
      <c r="N87" s="16"/>
      <c r="O87" s="16"/>
      <c r="P87" s="16"/>
      <c r="Q87" s="16"/>
      <c r="R87" s="16"/>
      <c r="S87" s="16"/>
      <c r="T87" s="16"/>
      <c r="U87" s="16"/>
      <c r="V87" s="16"/>
      <c r="W87" s="16"/>
      <c r="X87" s="16"/>
      <c r="Y87" s="16"/>
      <c r="Z87" s="16"/>
      <c r="AA87" s="16"/>
      <c r="AB87" s="16"/>
      <c r="AC87" s="16"/>
    </row>
    <row r="88" spans="10:29" x14ac:dyDescent="0.25">
      <c r="J88" s="16"/>
      <c r="K88" s="16"/>
      <c r="L88" s="16"/>
      <c r="M88" s="16"/>
      <c r="N88" s="16"/>
      <c r="O88" s="16"/>
      <c r="P88" s="16"/>
      <c r="Q88" s="16"/>
      <c r="R88" s="16"/>
      <c r="S88" s="16"/>
      <c r="T88" s="16"/>
      <c r="U88" s="16"/>
      <c r="V88" s="16"/>
      <c r="W88" s="16"/>
      <c r="X88" s="16"/>
      <c r="Y88" s="16"/>
      <c r="Z88" s="16"/>
      <c r="AA88" s="16"/>
      <c r="AB88" s="16"/>
      <c r="AC88" s="16"/>
    </row>
    <row r="89" spans="10:29" x14ac:dyDescent="0.25">
      <c r="J89" s="16"/>
      <c r="K89" s="16"/>
      <c r="L89" s="16"/>
      <c r="M89" s="16"/>
      <c r="N89" s="16"/>
      <c r="O89" s="16"/>
      <c r="P89" s="16"/>
      <c r="Q89" s="16"/>
      <c r="R89" s="16"/>
      <c r="S89" s="16"/>
      <c r="T89" s="16"/>
      <c r="U89" s="16"/>
      <c r="V89" s="16"/>
      <c r="W89" s="16"/>
      <c r="X89" s="16"/>
      <c r="Y89" s="16"/>
      <c r="Z89" s="16"/>
      <c r="AA89" s="16"/>
      <c r="AB89" s="16"/>
      <c r="AC89" s="16"/>
    </row>
    <row r="90" spans="10:29" x14ac:dyDescent="0.25">
      <c r="J90" s="16"/>
      <c r="K90" s="16"/>
      <c r="L90" s="16"/>
      <c r="M90" s="16"/>
      <c r="N90" s="16"/>
      <c r="O90" s="16"/>
      <c r="P90" s="16"/>
      <c r="Q90" s="16"/>
      <c r="R90" s="16"/>
      <c r="S90" s="16"/>
      <c r="T90" s="16"/>
      <c r="U90" s="16"/>
      <c r="V90" s="16"/>
      <c r="W90" s="16"/>
      <c r="X90" s="16"/>
      <c r="Y90" s="16"/>
      <c r="Z90" s="16"/>
      <c r="AA90" s="16"/>
      <c r="AB90" s="16"/>
      <c r="AC90" s="16"/>
    </row>
    <row r="91" spans="10:29" x14ac:dyDescent="0.25">
      <c r="J91" s="16"/>
      <c r="K91" s="16"/>
      <c r="L91" s="16"/>
      <c r="M91" s="16"/>
      <c r="N91" s="16"/>
      <c r="O91" s="16"/>
      <c r="P91" s="16"/>
      <c r="Q91" s="16"/>
      <c r="R91" s="16"/>
      <c r="S91" s="16"/>
      <c r="T91" s="16"/>
      <c r="U91" s="16"/>
      <c r="V91" s="16"/>
      <c r="W91" s="16"/>
      <c r="X91" s="16"/>
      <c r="Y91" s="16"/>
      <c r="Z91" s="16"/>
      <c r="AA91" s="16"/>
      <c r="AB91" s="16"/>
      <c r="AC91" s="16"/>
    </row>
    <row r="92" spans="10:29" x14ac:dyDescent="0.25">
      <c r="J92" s="16"/>
      <c r="K92" s="16"/>
      <c r="L92" s="16"/>
      <c r="M92" s="16"/>
      <c r="N92" s="16"/>
      <c r="O92" s="16"/>
      <c r="P92" s="16"/>
      <c r="Q92" s="16"/>
      <c r="R92" s="16"/>
      <c r="S92" s="16"/>
      <c r="T92" s="16"/>
      <c r="U92" s="16"/>
      <c r="V92" s="16"/>
      <c r="W92" s="16"/>
      <c r="X92" s="16"/>
      <c r="Y92" s="16"/>
      <c r="Z92" s="16"/>
      <c r="AA92" s="16"/>
      <c r="AB92" s="16"/>
      <c r="AC92" s="16"/>
    </row>
    <row r="93" spans="10:29" x14ac:dyDescent="0.25">
      <c r="J93" s="16"/>
      <c r="K93" s="16"/>
      <c r="L93" s="16"/>
      <c r="M93" s="16"/>
      <c r="N93" s="16"/>
      <c r="O93" s="16"/>
      <c r="P93" s="16"/>
      <c r="Q93" s="16"/>
      <c r="R93" s="16"/>
      <c r="S93" s="16"/>
      <c r="T93" s="16"/>
      <c r="U93" s="16"/>
      <c r="V93" s="16"/>
      <c r="W93" s="16"/>
      <c r="X93" s="16"/>
      <c r="Y93" s="16"/>
      <c r="Z93" s="16"/>
      <c r="AA93" s="16"/>
      <c r="AB93" s="16"/>
      <c r="AC93" s="16"/>
    </row>
    <row r="94" spans="10:29" x14ac:dyDescent="0.25">
      <c r="J94" s="16"/>
      <c r="K94" s="16"/>
      <c r="L94" s="16"/>
      <c r="M94" s="16"/>
      <c r="N94" s="16"/>
      <c r="O94" s="16"/>
      <c r="P94" s="16"/>
      <c r="Q94" s="16"/>
      <c r="R94" s="16"/>
      <c r="S94" s="16"/>
      <c r="T94" s="16"/>
      <c r="U94" s="16"/>
      <c r="V94" s="16"/>
      <c r="W94" s="16"/>
      <c r="X94" s="16"/>
      <c r="Y94" s="16"/>
      <c r="Z94" s="16"/>
      <c r="AA94" s="16"/>
      <c r="AB94" s="16"/>
      <c r="AC94" s="16"/>
    </row>
    <row r="95" spans="10:29" x14ac:dyDescent="0.25">
      <c r="J95" s="16"/>
      <c r="K95" s="16"/>
      <c r="L95" s="16"/>
      <c r="M95" s="16"/>
      <c r="N95" s="16"/>
      <c r="O95" s="16"/>
      <c r="P95" s="16"/>
      <c r="Q95" s="16"/>
      <c r="R95" s="16"/>
      <c r="S95" s="16"/>
      <c r="T95" s="16"/>
      <c r="U95" s="16"/>
      <c r="V95" s="16"/>
      <c r="W95" s="16"/>
      <c r="X95" s="16"/>
      <c r="Y95" s="16"/>
      <c r="Z95" s="16"/>
      <c r="AA95" s="16"/>
      <c r="AB95" s="16"/>
      <c r="AC95" s="16"/>
    </row>
    <row r="96" spans="10:29" x14ac:dyDescent="0.25">
      <c r="J96" s="16"/>
      <c r="K96" s="16"/>
      <c r="L96" s="16"/>
      <c r="M96" s="16"/>
      <c r="N96" s="16"/>
      <c r="O96" s="16"/>
      <c r="P96" s="16"/>
      <c r="Q96" s="16"/>
      <c r="R96" s="16"/>
      <c r="S96" s="16"/>
      <c r="T96" s="16"/>
      <c r="U96" s="16"/>
      <c r="V96" s="16"/>
      <c r="W96" s="16"/>
      <c r="X96" s="16"/>
      <c r="Y96" s="16"/>
      <c r="Z96" s="16"/>
      <c r="AA96" s="16"/>
      <c r="AB96" s="16"/>
      <c r="AC96" s="16"/>
    </row>
    <row r="97" spans="10:29" x14ac:dyDescent="0.25">
      <c r="J97" s="16"/>
      <c r="K97" s="16"/>
      <c r="L97" s="16"/>
      <c r="M97" s="16"/>
      <c r="N97" s="16"/>
      <c r="O97" s="16"/>
      <c r="P97" s="16"/>
      <c r="Q97" s="16"/>
      <c r="R97" s="16"/>
      <c r="S97" s="16"/>
      <c r="T97" s="16"/>
      <c r="U97" s="16"/>
      <c r="V97" s="16"/>
      <c r="W97" s="16"/>
      <c r="X97" s="16"/>
      <c r="Y97" s="16"/>
      <c r="Z97" s="16"/>
      <c r="AA97" s="16"/>
      <c r="AB97" s="16"/>
      <c r="AC97" s="16"/>
    </row>
    <row r="98" spans="10:29" x14ac:dyDescent="0.25">
      <c r="J98" s="16"/>
      <c r="K98" s="16"/>
      <c r="L98" s="16"/>
      <c r="M98" s="16"/>
      <c r="N98" s="16"/>
      <c r="O98" s="16"/>
      <c r="P98" s="16"/>
      <c r="Q98" s="16"/>
      <c r="R98" s="16"/>
      <c r="S98" s="16"/>
      <c r="T98" s="16"/>
      <c r="U98" s="16"/>
      <c r="V98" s="16"/>
      <c r="W98" s="16"/>
      <c r="X98" s="16"/>
      <c r="Y98" s="16"/>
      <c r="Z98" s="16"/>
      <c r="AA98" s="16"/>
      <c r="AB98" s="16"/>
      <c r="AC98" s="16"/>
    </row>
    <row r="99" spans="10:29" x14ac:dyDescent="0.25">
      <c r="J99" s="16"/>
      <c r="K99" s="16"/>
      <c r="L99" s="16"/>
      <c r="M99" s="16"/>
      <c r="N99" s="16"/>
      <c r="O99" s="16"/>
      <c r="P99" s="16"/>
      <c r="Q99" s="16"/>
      <c r="R99" s="16"/>
      <c r="S99" s="16"/>
      <c r="T99" s="16"/>
      <c r="U99" s="16"/>
      <c r="V99" s="16"/>
      <c r="W99" s="16"/>
      <c r="X99" s="16"/>
      <c r="Y99" s="16"/>
      <c r="Z99" s="16"/>
      <c r="AA99" s="16"/>
      <c r="AB99" s="16"/>
      <c r="AC99" s="16"/>
    </row>
    <row r="100" spans="10:29" x14ac:dyDescent="0.25">
      <c r="J100" s="16"/>
      <c r="K100" s="16"/>
      <c r="L100" s="16"/>
      <c r="M100" s="16"/>
      <c r="N100" s="16"/>
      <c r="O100" s="16"/>
      <c r="P100" s="16"/>
      <c r="Q100" s="16"/>
      <c r="R100" s="16"/>
      <c r="S100" s="16"/>
      <c r="T100" s="16"/>
      <c r="U100" s="16"/>
      <c r="V100" s="16"/>
      <c r="W100" s="16"/>
      <c r="X100" s="16"/>
      <c r="Y100" s="16"/>
      <c r="Z100" s="16"/>
      <c r="AA100" s="16"/>
      <c r="AB100" s="16"/>
      <c r="AC100" s="16"/>
    </row>
    <row r="101" spans="10:29" x14ac:dyDescent="0.25">
      <c r="J101" s="16"/>
      <c r="K101" s="16"/>
      <c r="L101" s="16"/>
      <c r="M101" s="16"/>
      <c r="N101" s="16"/>
      <c r="O101" s="16"/>
      <c r="P101" s="16"/>
      <c r="Q101" s="16"/>
      <c r="R101" s="16"/>
      <c r="S101" s="16"/>
      <c r="T101" s="16"/>
      <c r="U101" s="16"/>
      <c r="V101" s="16"/>
      <c r="W101" s="16"/>
      <c r="X101" s="16"/>
      <c r="Y101" s="16"/>
      <c r="Z101" s="16"/>
      <c r="AA101" s="16"/>
      <c r="AB101" s="16"/>
      <c r="AC101" s="16"/>
    </row>
    <row r="102" spans="10:29" x14ac:dyDescent="0.25">
      <c r="J102" s="16"/>
      <c r="K102" s="16"/>
      <c r="L102" s="16"/>
      <c r="M102" s="16"/>
      <c r="N102" s="16"/>
      <c r="O102" s="16"/>
      <c r="P102" s="16"/>
      <c r="Q102" s="16"/>
      <c r="R102" s="16"/>
      <c r="S102" s="16"/>
      <c r="T102" s="16"/>
      <c r="U102" s="16"/>
      <c r="V102" s="16"/>
      <c r="W102" s="16"/>
      <c r="X102" s="16"/>
      <c r="Y102" s="16"/>
      <c r="Z102" s="16"/>
      <c r="AA102" s="16"/>
      <c r="AB102" s="16"/>
      <c r="AC102" s="16"/>
    </row>
    <row r="103" spans="10:29" x14ac:dyDescent="0.25">
      <c r="J103" s="16"/>
      <c r="K103" s="16"/>
      <c r="L103" s="16"/>
      <c r="M103" s="16"/>
      <c r="N103" s="16"/>
      <c r="O103" s="16"/>
      <c r="P103" s="16"/>
      <c r="Q103" s="16"/>
      <c r="R103" s="16"/>
      <c r="S103" s="16"/>
      <c r="T103" s="16"/>
      <c r="U103" s="16"/>
      <c r="V103" s="16"/>
      <c r="W103" s="16"/>
      <c r="X103" s="16"/>
      <c r="Y103" s="16"/>
      <c r="Z103" s="16"/>
      <c r="AA103" s="16"/>
      <c r="AB103" s="16"/>
      <c r="AC103" s="16"/>
    </row>
    <row r="104" spans="10:29" x14ac:dyDescent="0.25">
      <c r="J104" s="16"/>
      <c r="K104" s="16"/>
      <c r="L104" s="16"/>
      <c r="M104" s="16"/>
      <c r="N104" s="16"/>
      <c r="O104" s="16"/>
      <c r="P104" s="16"/>
      <c r="Q104" s="16"/>
      <c r="R104" s="16"/>
      <c r="S104" s="16"/>
      <c r="T104" s="16"/>
      <c r="U104" s="16"/>
      <c r="V104" s="16"/>
      <c r="W104" s="16"/>
      <c r="X104" s="16"/>
      <c r="Y104" s="16"/>
      <c r="Z104" s="16"/>
      <c r="AA104" s="16"/>
      <c r="AB104" s="16"/>
      <c r="AC104" s="16"/>
    </row>
    <row r="105" spans="10:29" x14ac:dyDescent="0.25">
      <c r="J105" s="16"/>
      <c r="K105" s="16"/>
      <c r="L105" s="16"/>
      <c r="M105" s="16"/>
      <c r="N105" s="16"/>
      <c r="O105" s="16"/>
      <c r="P105" s="16"/>
      <c r="Q105" s="16"/>
      <c r="R105" s="16"/>
      <c r="S105" s="16"/>
      <c r="T105" s="16"/>
      <c r="U105" s="16"/>
      <c r="V105" s="16"/>
      <c r="W105" s="16"/>
      <c r="X105" s="16"/>
      <c r="Y105" s="16"/>
      <c r="Z105" s="16"/>
      <c r="AA105" s="16"/>
      <c r="AB105" s="16"/>
      <c r="AC105" s="16"/>
    </row>
    <row r="106" spans="10:29" x14ac:dyDescent="0.25">
      <c r="J106" s="16"/>
      <c r="K106" s="16"/>
      <c r="L106" s="16"/>
      <c r="M106" s="16"/>
      <c r="N106" s="16"/>
      <c r="O106" s="16"/>
      <c r="P106" s="16"/>
      <c r="Q106" s="16"/>
      <c r="R106" s="16"/>
      <c r="S106" s="16"/>
      <c r="T106" s="16"/>
      <c r="U106" s="16"/>
      <c r="V106" s="16"/>
      <c r="W106" s="16"/>
      <c r="X106" s="16"/>
      <c r="Y106" s="16"/>
      <c r="Z106" s="16"/>
      <c r="AA106" s="16"/>
      <c r="AB106" s="16"/>
      <c r="AC106" s="16"/>
    </row>
    <row r="107" spans="10:29" x14ac:dyDescent="0.25">
      <c r="J107" s="16"/>
      <c r="K107" s="16"/>
      <c r="L107" s="16"/>
      <c r="M107" s="16"/>
      <c r="N107" s="16"/>
      <c r="O107" s="16"/>
      <c r="P107" s="16"/>
      <c r="Q107" s="16"/>
      <c r="R107" s="16"/>
      <c r="S107" s="16"/>
      <c r="T107" s="16"/>
      <c r="U107" s="16"/>
      <c r="V107" s="16"/>
      <c r="W107" s="16"/>
      <c r="X107" s="16"/>
      <c r="Y107" s="16"/>
      <c r="Z107" s="16"/>
      <c r="AA107" s="16"/>
      <c r="AB107" s="16"/>
      <c r="AC107" s="16"/>
    </row>
    <row r="108" spans="10:29" x14ac:dyDescent="0.25">
      <c r="J108" s="16"/>
      <c r="K108" s="16"/>
      <c r="L108" s="16"/>
      <c r="M108" s="16"/>
      <c r="N108" s="16"/>
      <c r="O108" s="16"/>
      <c r="P108" s="16"/>
      <c r="Q108" s="16"/>
      <c r="R108" s="16"/>
      <c r="S108" s="16"/>
      <c r="T108" s="16"/>
      <c r="U108" s="16"/>
      <c r="V108" s="16"/>
      <c r="W108" s="16"/>
      <c r="X108" s="16"/>
      <c r="Y108" s="16"/>
      <c r="Z108" s="16"/>
      <c r="AA108" s="16"/>
      <c r="AB108" s="16"/>
      <c r="AC108" s="16"/>
    </row>
    <row r="109" spans="10:29" x14ac:dyDescent="0.25">
      <c r="J109" s="16"/>
      <c r="K109" s="16"/>
      <c r="L109" s="16"/>
      <c r="M109" s="16"/>
      <c r="N109" s="16"/>
      <c r="O109" s="16"/>
      <c r="P109" s="16"/>
      <c r="Q109" s="16"/>
      <c r="R109" s="16"/>
      <c r="S109" s="16"/>
      <c r="T109" s="16"/>
      <c r="U109" s="16"/>
      <c r="V109" s="16"/>
      <c r="W109" s="16"/>
      <c r="X109" s="16"/>
      <c r="Y109" s="16"/>
      <c r="Z109" s="16"/>
      <c r="AA109" s="16"/>
      <c r="AB109" s="16"/>
      <c r="AC109" s="16"/>
    </row>
  </sheetData>
  <mergeCells count="2">
    <mergeCell ref="F2:I2"/>
    <mergeCell ref="D1:L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CE70C-83D7-4EAB-85F5-25DF3F468BF6}">
  <dimension ref="A1:AT24"/>
  <sheetViews>
    <sheetView showGridLines="0" zoomScale="109" workbookViewId="0">
      <selection activeCell="C12" sqref="C12"/>
    </sheetView>
  </sheetViews>
  <sheetFormatPr defaultRowHeight="15" x14ac:dyDescent="0.25"/>
  <cols>
    <col min="1" max="1" width="17.7109375" bestFit="1" customWidth="1"/>
    <col min="2" max="2" width="21" bestFit="1" customWidth="1"/>
  </cols>
  <sheetData>
    <row r="1" spans="1:46" ht="23.25" x14ac:dyDescent="0.35">
      <c r="A1" s="14"/>
      <c r="B1" s="14"/>
      <c r="C1" s="14"/>
      <c r="D1" s="14"/>
      <c r="E1" s="14"/>
      <c r="F1" s="15" t="s">
        <v>60</v>
      </c>
      <c r="G1" s="15"/>
      <c r="H1" s="15"/>
      <c r="I1" s="14"/>
      <c r="J1" s="14"/>
      <c r="K1" s="14"/>
      <c r="L1" s="14"/>
      <c r="M1" s="14"/>
      <c r="N1" s="14"/>
      <c r="O1" s="14"/>
      <c r="P1" s="14"/>
      <c r="Q1" s="14"/>
      <c r="R1" s="14"/>
      <c r="S1" s="14"/>
      <c r="T1" s="14"/>
      <c r="U1" s="14"/>
      <c r="V1" s="14"/>
      <c r="W1" s="14"/>
      <c r="X1" s="14"/>
      <c r="Y1" s="14"/>
      <c r="Z1" s="14"/>
    </row>
    <row r="2" spans="1:46"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row>
    <row r="3" spans="1:46" ht="21" x14ac:dyDescent="0.35">
      <c r="A3" s="21" t="s">
        <v>53</v>
      </c>
      <c r="B3" s="21" t="s">
        <v>52</v>
      </c>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row>
    <row r="4" spans="1:46" ht="21" x14ac:dyDescent="0.35">
      <c r="A4" s="22" t="s">
        <v>13</v>
      </c>
      <c r="B4" s="47">
        <v>265</v>
      </c>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row>
    <row r="5" spans="1:46" ht="21" x14ac:dyDescent="0.35">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row>
    <row r="6" spans="1:46"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row>
    <row r="7" spans="1:46"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row>
    <row r="8" spans="1:46"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row>
    <row r="9" spans="1:46"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row>
    <row r="10" spans="1:46"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row>
    <row r="11" spans="1:46"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row>
    <row r="12" spans="1:46"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row>
    <row r="13" spans="1:46"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row>
    <row r="14" spans="1:46"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row>
    <row r="15" spans="1:46"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row>
    <row r="16" spans="1:46"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row>
    <row r="17" spans="1:46"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row>
    <row r="18" spans="1:46"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row>
    <row r="19" spans="1:46"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row>
    <row r="20" spans="1:46"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row>
    <row r="21" spans="1:46"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row>
    <row r="22" spans="1:46"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row>
    <row r="23" spans="1:46"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row>
    <row r="24" spans="1:46"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B1F03-B43D-4EB6-BBBE-81CF36C8667D}">
  <dimension ref="A1:AQ47"/>
  <sheetViews>
    <sheetView showGridLines="0" zoomScale="115" workbookViewId="0">
      <selection activeCell="I21" sqref="I21:Q21"/>
    </sheetView>
  </sheetViews>
  <sheetFormatPr defaultRowHeight="15" x14ac:dyDescent="0.25"/>
  <cols>
    <col min="1" max="1" width="13.140625" bestFit="1" customWidth="1"/>
    <col min="2" max="2" width="16.85546875" bestFit="1" customWidth="1"/>
  </cols>
  <sheetData>
    <row r="1" spans="1:43" ht="31.5" x14ac:dyDescent="0.5">
      <c r="A1" s="14"/>
      <c r="B1" s="14"/>
      <c r="C1" s="14"/>
      <c r="D1" s="14"/>
      <c r="E1" s="14" t="s">
        <v>65</v>
      </c>
      <c r="F1" s="14" t="s">
        <v>66</v>
      </c>
      <c r="G1" s="14"/>
      <c r="H1" s="14"/>
      <c r="I1" s="14"/>
      <c r="J1" s="14"/>
      <c r="K1" s="14"/>
      <c r="L1" s="14"/>
      <c r="M1" s="14"/>
      <c r="N1" s="14"/>
      <c r="O1" s="14"/>
      <c r="P1" s="14"/>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row>
    <row r="2" spans="1:43" ht="24" customHeight="1" x14ac:dyDescent="0.25">
      <c r="A2" s="23"/>
      <c r="B2" s="23"/>
      <c r="C2" s="23"/>
      <c r="D2" s="23"/>
      <c r="E2" s="23"/>
      <c r="F2" s="23"/>
      <c r="G2" s="23"/>
      <c r="H2" s="23"/>
      <c r="I2" s="23"/>
      <c r="J2" s="23"/>
      <c r="K2" s="23"/>
      <c r="L2" s="23"/>
      <c r="M2" s="23"/>
      <c r="N2" s="23"/>
      <c r="O2" s="23"/>
      <c r="P2" s="23"/>
      <c r="Q2" s="23"/>
      <c r="R2" s="20"/>
      <c r="S2" s="20"/>
      <c r="T2" s="20"/>
      <c r="U2" s="20"/>
      <c r="V2" s="20"/>
      <c r="W2" s="20"/>
      <c r="X2" s="20"/>
      <c r="Y2" s="20"/>
      <c r="Z2" s="20"/>
      <c r="AA2" s="20"/>
      <c r="AB2" s="20"/>
      <c r="AC2" s="20"/>
      <c r="AD2" s="20"/>
      <c r="AE2" s="20"/>
      <c r="AF2" s="20"/>
      <c r="AG2" s="20"/>
      <c r="AH2" s="20"/>
      <c r="AI2" s="20"/>
      <c r="AJ2" s="20"/>
      <c r="AK2" s="20"/>
      <c r="AL2" s="20"/>
      <c r="AM2" s="20"/>
      <c r="AN2" s="20"/>
      <c r="AO2" s="20"/>
      <c r="AP2" s="20"/>
      <c r="AQ2" s="20"/>
    </row>
    <row r="3" spans="1:43" x14ac:dyDescent="0.25">
      <c r="A3" s="44" t="s">
        <v>53</v>
      </c>
      <c r="B3" s="44" t="s">
        <v>56</v>
      </c>
      <c r="C3" s="23"/>
      <c r="D3" s="23"/>
      <c r="E3" s="23"/>
      <c r="F3" s="23"/>
      <c r="G3" s="23"/>
      <c r="H3" s="23"/>
      <c r="I3" s="23"/>
      <c r="J3" s="23"/>
      <c r="K3" s="23"/>
      <c r="L3" s="23"/>
      <c r="M3" s="23"/>
      <c r="N3" s="23"/>
      <c r="O3" s="23"/>
      <c r="P3" s="23"/>
      <c r="Q3" s="23"/>
      <c r="R3" s="20"/>
      <c r="S3" s="20"/>
      <c r="T3" s="20"/>
      <c r="U3" s="20"/>
      <c r="V3" s="20"/>
      <c r="W3" s="20"/>
      <c r="X3" s="20"/>
      <c r="Y3" s="20"/>
      <c r="Z3" s="20"/>
      <c r="AA3" s="20"/>
      <c r="AB3" s="20"/>
      <c r="AC3" s="20"/>
      <c r="AD3" s="20"/>
      <c r="AE3" s="20"/>
      <c r="AF3" s="20"/>
      <c r="AG3" s="20"/>
      <c r="AH3" s="20"/>
      <c r="AI3" s="20"/>
      <c r="AJ3" s="20"/>
      <c r="AK3" s="20"/>
      <c r="AL3" s="20"/>
      <c r="AM3" s="20"/>
      <c r="AN3" s="20"/>
      <c r="AO3" s="20"/>
      <c r="AP3" s="20"/>
      <c r="AQ3" s="20"/>
    </row>
    <row r="4" spans="1:43" x14ac:dyDescent="0.25">
      <c r="A4" s="45" t="s">
        <v>64</v>
      </c>
      <c r="B4" s="46">
        <v>1</v>
      </c>
      <c r="C4" s="23"/>
      <c r="D4" s="23"/>
      <c r="E4" s="23"/>
      <c r="F4" s="23"/>
      <c r="G4" s="23"/>
      <c r="H4" s="23"/>
      <c r="I4" s="23"/>
      <c r="J4" s="23"/>
      <c r="K4" s="23"/>
      <c r="L4" s="23"/>
      <c r="M4" s="23"/>
      <c r="N4" s="23"/>
      <c r="O4" s="23"/>
      <c r="P4" s="23"/>
      <c r="Q4" s="23"/>
      <c r="R4" s="20"/>
      <c r="S4" s="20"/>
      <c r="T4" s="20"/>
      <c r="U4" s="20"/>
      <c r="V4" s="20"/>
      <c r="W4" s="20"/>
      <c r="X4" s="20"/>
      <c r="Y4" s="20"/>
      <c r="Z4" s="20"/>
      <c r="AA4" s="20"/>
      <c r="AB4" s="20"/>
      <c r="AC4" s="20"/>
      <c r="AD4" s="20"/>
      <c r="AE4" s="20"/>
      <c r="AF4" s="20"/>
      <c r="AG4" s="20"/>
      <c r="AH4" s="20"/>
      <c r="AI4" s="20"/>
      <c r="AJ4" s="20"/>
      <c r="AK4" s="20"/>
      <c r="AL4" s="20"/>
      <c r="AM4" s="20"/>
      <c r="AN4" s="20"/>
      <c r="AO4" s="20"/>
      <c r="AP4" s="20"/>
      <c r="AQ4" s="20"/>
    </row>
    <row r="5" spans="1:43" x14ac:dyDescent="0.25">
      <c r="C5" s="23"/>
      <c r="D5" s="23"/>
      <c r="E5" s="23"/>
      <c r="F5" s="23"/>
      <c r="G5" s="23"/>
      <c r="H5" s="23"/>
      <c r="I5" s="23"/>
      <c r="J5" s="23"/>
      <c r="K5" s="23"/>
      <c r="L5" s="23"/>
      <c r="M5" s="23"/>
      <c r="N5" s="23"/>
      <c r="O5" s="23"/>
      <c r="P5" s="23"/>
      <c r="Q5" s="23"/>
      <c r="R5" s="20"/>
      <c r="S5" s="20"/>
      <c r="T5" s="20"/>
      <c r="U5" s="20"/>
      <c r="V5" s="20"/>
      <c r="W5" s="20"/>
      <c r="X5" s="20"/>
      <c r="Y5" s="20"/>
      <c r="Z5" s="20"/>
      <c r="AA5" s="20"/>
      <c r="AB5" s="20"/>
      <c r="AC5" s="20"/>
      <c r="AD5" s="20"/>
      <c r="AE5" s="20"/>
      <c r="AF5" s="20"/>
      <c r="AG5" s="20"/>
      <c r="AH5" s="20"/>
      <c r="AI5" s="20"/>
      <c r="AJ5" s="20"/>
      <c r="AK5" s="20"/>
      <c r="AL5" s="20"/>
      <c r="AM5" s="20"/>
      <c r="AN5" s="20"/>
      <c r="AO5" s="20"/>
      <c r="AP5" s="20"/>
      <c r="AQ5" s="20"/>
    </row>
    <row r="6" spans="1:43" x14ac:dyDescent="0.25">
      <c r="C6" s="23"/>
      <c r="D6" s="23"/>
      <c r="E6" s="23"/>
      <c r="F6" s="23"/>
      <c r="G6" s="23"/>
      <c r="H6" s="23"/>
      <c r="I6" s="23"/>
      <c r="J6" s="23"/>
      <c r="K6" s="23"/>
      <c r="L6" s="23"/>
      <c r="M6" s="23"/>
      <c r="N6" s="23"/>
      <c r="O6" s="23"/>
      <c r="P6" s="23"/>
      <c r="Q6" s="23"/>
      <c r="R6" s="20"/>
      <c r="S6" s="20"/>
      <c r="T6" s="20"/>
      <c r="U6" s="20"/>
      <c r="V6" s="20"/>
      <c r="W6" s="20"/>
      <c r="X6" s="20"/>
      <c r="Y6" s="20"/>
      <c r="Z6" s="20"/>
      <c r="AA6" s="20"/>
      <c r="AB6" s="20"/>
      <c r="AC6" s="20"/>
      <c r="AD6" s="20"/>
      <c r="AE6" s="20"/>
      <c r="AF6" s="20"/>
      <c r="AG6" s="20"/>
      <c r="AH6" s="20"/>
      <c r="AI6" s="20"/>
      <c r="AJ6" s="20"/>
      <c r="AK6" s="20"/>
      <c r="AL6" s="20"/>
      <c r="AM6" s="20"/>
      <c r="AN6" s="20"/>
      <c r="AO6" s="20"/>
      <c r="AP6" s="20"/>
      <c r="AQ6" s="20"/>
    </row>
    <row r="7" spans="1:43" x14ac:dyDescent="0.25">
      <c r="C7" s="23"/>
      <c r="D7" s="23"/>
      <c r="E7" s="23"/>
      <c r="F7" s="23"/>
      <c r="G7" s="23"/>
      <c r="H7" s="23"/>
      <c r="I7" s="23"/>
      <c r="J7" s="23"/>
      <c r="K7" s="23"/>
      <c r="L7" s="23"/>
      <c r="M7" s="23"/>
      <c r="N7" s="23"/>
      <c r="O7" s="23"/>
      <c r="P7" s="23"/>
      <c r="Q7" s="23"/>
      <c r="R7" s="20"/>
      <c r="S7" s="20"/>
      <c r="T7" s="20"/>
      <c r="U7" s="20"/>
      <c r="V7" s="20"/>
      <c r="W7" s="20"/>
      <c r="X7" s="20"/>
      <c r="Y7" s="20"/>
      <c r="Z7" s="20"/>
      <c r="AA7" s="20"/>
      <c r="AB7" s="20"/>
      <c r="AC7" s="20"/>
      <c r="AD7" s="20"/>
      <c r="AE7" s="20"/>
      <c r="AF7" s="20"/>
      <c r="AG7" s="20"/>
      <c r="AH7" s="20"/>
      <c r="AI7" s="20"/>
      <c r="AJ7" s="20"/>
      <c r="AK7" s="20"/>
      <c r="AL7" s="20"/>
      <c r="AM7" s="20"/>
      <c r="AN7" s="20"/>
      <c r="AO7" s="20"/>
      <c r="AP7" s="20"/>
      <c r="AQ7" s="20"/>
    </row>
    <row r="8" spans="1:43" x14ac:dyDescent="0.25">
      <c r="A8" s="24"/>
      <c r="B8" s="24"/>
      <c r="C8" s="23"/>
      <c r="D8" s="23"/>
      <c r="E8" s="23"/>
      <c r="F8" s="23"/>
      <c r="G8" s="23"/>
      <c r="H8" s="23"/>
      <c r="I8" s="23"/>
      <c r="J8" s="23"/>
      <c r="K8" s="23"/>
      <c r="L8" s="23"/>
      <c r="M8" s="23"/>
      <c r="N8" s="23"/>
      <c r="O8" s="23"/>
      <c r="P8" s="23"/>
      <c r="Q8" s="23"/>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x14ac:dyDescent="0.25">
      <c r="A9" s="23"/>
      <c r="B9" s="23"/>
      <c r="C9" s="23"/>
      <c r="D9" s="23"/>
      <c r="E9" s="23"/>
      <c r="F9" s="23"/>
      <c r="G9" s="23"/>
      <c r="H9" s="23"/>
      <c r="I9" s="23"/>
      <c r="J9" s="23"/>
      <c r="K9" s="23"/>
      <c r="L9" s="23"/>
      <c r="M9" s="23"/>
      <c r="N9" s="23"/>
      <c r="O9" s="23"/>
      <c r="P9" s="23"/>
      <c r="Q9" s="23"/>
      <c r="R9" s="20"/>
      <c r="S9" s="20"/>
      <c r="T9" s="20"/>
      <c r="U9" s="20"/>
      <c r="V9" s="20"/>
      <c r="W9" s="20"/>
      <c r="X9" s="20"/>
      <c r="Y9" s="20"/>
      <c r="Z9" s="20"/>
      <c r="AA9" s="20"/>
      <c r="AB9" s="20"/>
      <c r="AC9" s="20"/>
      <c r="AD9" s="20"/>
      <c r="AE9" s="20"/>
      <c r="AF9" s="20"/>
      <c r="AG9" s="20"/>
      <c r="AH9" s="20"/>
      <c r="AI9" s="20"/>
      <c r="AJ9" s="20"/>
      <c r="AK9" s="20"/>
      <c r="AL9" s="20"/>
      <c r="AM9" s="20"/>
      <c r="AN9" s="20"/>
      <c r="AO9" s="20"/>
      <c r="AP9" s="20"/>
      <c r="AQ9" s="20"/>
    </row>
    <row r="10" spans="1:43" x14ac:dyDescent="0.25">
      <c r="A10" s="23"/>
      <c r="B10" s="23"/>
      <c r="C10" s="23"/>
      <c r="D10" s="23"/>
      <c r="E10" s="23"/>
      <c r="F10" s="23"/>
      <c r="G10" s="23"/>
      <c r="H10" s="23"/>
      <c r="I10" s="23"/>
      <c r="J10" s="23"/>
      <c r="K10" s="23"/>
      <c r="L10" s="23"/>
      <c r="M10" s="23"/>
      <c r="N10" s="23"/>
      <c r="O10" s="23"/>
      <c r="P10" s="23"/>
      <c r="Q10" s="23"/>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row>
    <row r="11" spans="1:43" x14ac:dyDescent="0.25">
      <c r="A11" s="23"/>
      <c r="B11" s="23"/>
      <c r="C11" s="23"/>
      <c r="D11" s="23"/>
      <c r="E11" s="23"/>
      <c r="F11" s="23"/>
      <c r="G11" s="23"/>
      <c r="H11" s="23"/>
      <c r="I11" s="23"/>
      <c r="J11" s="23"/>
      <c r="K11" s="23"/>
      <c r="L11" s="23"/>
      <c r="M11" s="23"/>
      <c r="N11" s="23"/>
      <c r="O11" s="23"/>
      <c r="P11" s="23"/>
      <c r="Q11" s="23"/>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row>
    <row r="12" spans="1:43" x14ac:dyDescent="0.25">
      <c r="A12" s="23"/>
      <c r="B12" s="23"/>
      <c r="C12" s="23"/>
      <c r="D12" s="23"/>
      <c r="E12" s="23"/>
      <c r="F12" s="23"/>
      <c r="G12" s="23"/>
      <c r="H12" s="23"/>
      <c r="I12" s="23"/>
      <c r="J12" s="23"/>
      <c r="K12" s="23"/>
      <c r="L12" s="23"/>
      <c r="M12" s="23"/>
      <c r="N12" s="23"/>
      <c r="O12" s="23"/>
      <c r="P12" s="23"/>
      <c r="Q12" s="23"/>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row>
    <row r="13" spans="1:43" x14ac:dyDescent="0.25">
      <c r="A13" s="23"/>
      <c r="B13" s="23"/>
      <c r="C13" s="23"/>
      <c r="D13" s="23"/>
      <c r="E13" s="23"/>
      <c r="F13" s="23"/>
      <c r="G13" s="23"/>
      <c r="H13" s="23"/>
      <c r="I13" s="23"/>
      <c r="J13" s="23"/>
      <c r="K13" s="23"/>
      <c r="L13" s="23"/>
      <c r="M13" s="23"/>
      <c r="N13" s="23"/>
      <c r="O13" s="23"/>
      <c r="P13" s="23"/>
      <c r="Q13" s="23"/>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row>
    <row r="14" spans="1:43" x14ac:dyDescent="0.25">
      <c r="A14" s="23"/>
      <c r="B14" s="23"/>
      <c r="C14" s="23"/>
      <c r="D14" s="23"/>
      <c r="E14" s="23"/>
      <c r="F14" s="23"/>
      <c r="G14" s="23"/>
      <c r="H14" s="23"/>
      <c r="I14" s="23"/>
      <c r="J14" s="23"/>
      <c r="K14" s="23"/>
      <c r="L14" s="23"/>
      <c r="M14" s="23"/>
      <c r="N14" s="23"/>
      <c r="O14" s="23"/>
      <c r="P14" s="23"/>
      <c r="Q14" s="23"/>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row>
    <row r="15" spans="1:43" x14ac:dyDescent="0.25">
      <c r="A15" s="23"/>
      <c r="B15" s="23"/>
      <c r="C15" s="23"/>
      <c r="D15" s="23"/>
      <c r="E15" s="23"/>
      <c r="F15" s="23"/>
      <c r="G15" s="23"/>
      <c r="H15" s="23"/>
      <c r="I15" s="23"/>
      <c r="J15" s="23"/>
      <c r="K15" s="23"/>
      <c r="L15" s="23"/>
      <c r="M15" s="23"/>
      <c r="N15" s="23"/>
      <c r="O15" s="23"/>
      <c r="P15" s="23"/>
      <c r="Q15" s="23"/>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row>
    <row r="16" spans="1:43" x14ac:dyDescent="0.25">
      <c r="A16" s="23"/>
      <c r="B16" s="23"/>
      <c r="C16" s="23"/>
      <c r="D16" s="23"/>
      <c r="E16" s="23"/>
      <c r="F16" s="23"/>
      <c r="G16" s="23"/>
      <c r="H16" s="23"/>
      <c r="I16" s="23"/>
      <c r="J16" s="23"/>
      <c r="K16" s="23"/>
      <c r="L16" s="23"/>
      <c r="M16" s="23"/>
      <c r="N16" s="23"/>
      <c r="O16" s="23"/>
      <c r="P16" s="23"/>
      <c r="Q16" s="23"/>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row>
    <row r="17" spans="1:43" x14ac:dyDescent="0.25">
      <c r="A17" s="23"/>
      <c r="B17" s="23"/>
      <c r="C17" s="23"/>
      <c r="D17" s="23"/>
      <c r="E17" s="23"/>
      <c r="F17" s="23"/>
      <c r="G17" s="23"/>
      <c r="H17" s="23"/>
      <c r="I17" s="23"/>
      <c r="J17" s="23"/>
      <c r="K17" s="23"/>
      <c r="L17" s="23"/>
      <c r="M17" s="23"/>
      <c r="N17" s="23"/>
      <c r="O17" s="23"/>
      <c r="P17" s="23"/>
      <c r="Q17" s="23"/>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row>
    <row r="18" spans="1:43" x14ac:dyDescent="0.25">
      <c r="A18" s="23"/>
      <c r="B18" s="23"/>
      <c r="C18" s="23"/>
      <c r="D18" s="23"/>
      <c r="E18" s="23"/>
      <c r="F18" s="23"/>
      <c r="G18" s="23"/>
      <c r="H18" s="23"/>
      <c r="I18" s="23"/>
      <c r="J18" s="23"/>
      <c r="K18" s="23"/>
      <c r="L18" s="23"/>
      <c r="M18" s="23"/>
      <c r="N18" s="23"/>
      <c r="O18" s="23"/>
      <c r="P18" s="23"/>
      <c r="Q18" s="23"/>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row>
    <row r="19" spans="1:43" x14ac:dyDescent="0.25">
      <c r="A19" s="13"/>
      <c r="B19" s="13"/>
      <c r="C19" s="23"/>
      <c r="D19" s="23"/>
      <c r="E19" s="23"/>
      <c r="F19" s="23"/>
      <c r="G19" s="23"/>
      <c r="H19" s="23"/>
      <c r="I19" s="23"/>
      <c r="J19" s="23"/>
      <c r="K19" s="23"/>
      <c r="L19" s="23"/>
      <c r="M19" s="23"/>
      <c r="N19" s="23"/>
      <c r="O19" s="23"/>
      <c r="P19" s="23"/>
      <c r="Q19" s="23"/>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row>
    <row r="20" spans="1:43" x14ac:dyDescent="0.25">
      <c r="A20" s="13"/>
      <c r="B20" s="13"/>
      <c r="C20" s="23"/>
      <c r="D20" s="23"/>
      <c r="E20" s="23"/>
      <c r="F20" s="23"/>
      <c r="G20" s="23"/>
      <c r="H20" s="23"/>
      <c r="I20" s="23"/>
      <c r="J20" s="23"/>
      <c r="K20" s="23"/>
      <c r="L20" s="23"/>
      <c r="M20" s="23"/>
      <c r="N20" s="23"/>
      <c r="O20" s="23"/>
      <c r="P20" s="23"/>
      <c r="Q20" s="23"/>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row>
    <row r="21" spans="1:43" x14ac:dyDescent="0.25">
      <c r="A21" s="13"/>
      <c r="B21" s="13"/>
      <c r="C21" s="23"/>
      <c r="D21" s="23"/>
      <c r="E21" s="23"/>
      <c r="F21" s="23"/>
      <c r="G21" s="23"/>
      <c r="H21" s="23"/>
      <c r="I21" s="13"/>
      <c r="J21" s="13"/>
      <c r="K21" s="13"/>
      <c r="L21" s="13"/>
      <c r="M21" s="13"/>
      <c r="N21" s="13"/>
      <c r="O21" s="13"/>
      <c r="P21" s="13"/>
      <c r="Q21" s="13"/>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row>
    <row r="22" spans="1:43" x14ac:dyDescent="0.25">
      <c r="A22" s="20"/>
      <c r="B22" s="20"/>
      <c r="C22" s="23"/>
      <c r="D22" s="23"/>
      <c r="E22" s="23"/>
      <c r="F22" s="23"/>
      <c r="G22" s="23"/>
      <c r="H22" s="23"/>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row>
    <row r="23" spans="1:43" x14ac:dyDescent="0.25">
      <c r="A23" s="20"/>
      <c r="B23" s="20"/>
      <c r="C23" s="23"/>
      <c r="D23" s="23"/>
      <c r="E23" s="23"/>
      <c r="F23" s="23"/>
      <c r="G23" s="23"/>
      <c r="H23" s="23"/>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row>
    <row r="24" spans="1:43" x14ac:dyDescent="0.25">
      <c r="A24" s="20"/>
      <c r="B24" s="20"/>
      <c r="C24" s="23"/>
      <c r="D24" s="23"/>
      <c r="E24" s="23"/>
      <c r="F24" s="23"/>
      <c r="G24" s="23"/>
      <c r="H24" s="23"/>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row>
    <row r="25" spans="1:43" x14ac:dyDescent="0.25">
      <c r="A25" s="20"/>
      <c r="B25" s="20"/>
      <c r="C25" s="23"/>
      <c r="D25" s="23"/>
      <c r="E25" s="23"/>
      <c r="F25" s="23"/>
      <c r="G25" s="23"/>
      <c r="H25" s="23"/>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row>
    <row r="26" spans="1:43" x14ac:dyDescent="0.25">
      <c r="A26" s="20"/>
      <c r="B26" s="20"/>
      <c r="C26" s="23"/>
      <c r="D26" s="23"/>
      <c r="E26" s="23"/>
      <c r="F26" s="23"/>
      <c r="G26" s="23"/>
      <c r="H26" s="23"/>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row>
    <row r="27" spans="1:43" x14ac:dyDescent="0.25">
      <c r="A27" s="20"/>
      <c r="B27" s="20"/>
      <c r="C27" s="23"/>
      <c r="D27" s="23"/>
      <c r="E27" s="23"/>
      <c r="F27" s="23"/>
      <c r="G27" s="23"/>
      <c r="H27" s="23"/>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row>
    <row r="28" spans="1:43" x14ac:dyDescent="0.25">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row>
    <row r="29" spans="1:43" x14ac:dyDescent="0.25">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row>
    <row r="30" spans="1:43" x14ac:dyDescent="0.25">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row>
    <row r="31" spans="1:43" x14ac:dyDescent="0.25">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row>
    <row r="32" spans="1:43" x14ac:dyDescent="0.25">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row>
    <row r="33" spans="1:43" x14ac:dyDescent="0.25">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row>
    <row r="34" spans="1:43" x14ac:dyDescent="0.25">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row>
    <row r="35" spans="1:43" x14ac:dyDescent="0.2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row>
    <row r="36" spans="1:43"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2C5F9-A49C-40B7-A8E5-7F2D2A579A57}">
  <dimension ref="A1:S26"/>
  <sheetViews>
    <sheetView showGridLines="0" workbookViewId="0">
      <selection activeCell="Q13" sqref="Q13"/>
    </sheetView>
  </sheetViews>
  <sheetFormatPr defaultRowHeight="15" x14ac:dyDescent="0.25"/>
  <cols>
    <col min="1" max="1" width="16" bestFit="1" customWidth="1"/>
    <col min="2" max="2" width="18.7109375" bestFit="1" customWidth="1"/>
    <col min="3" max="3" width="9.85546875" bestFit="1" customWidth="1"/>
  </cols>
  <sheetData>
    <row r="1" spans="1:19" x14ac:dyDescent="0.25">
      <c r="A1" s="13"/>
      <c r="B1" s="13"/>
      <c r="C1" s="13"/>
      <c r="D1" s="13"/>
      <c r="E1" s="13"/>
      <c r="F1" s="13"/>
      <c r="G1" s="13"/>
      <c r="H1" s="13"/>
      <c r="I1" s="13"/>
      <c r="J1" s="13"/>
      <c r="K1" s="13"/>
      <c r="L1" s="13"/>
      <c r="M1" s="13"/>
      <c r="N1" s="13"/>
      <c r="O1" s="13"/>
      <c r="P1" s="13"/>
      <c r="Q1" s="13"/>
      <c r="R1" s="13"/>
      <c r="S1" s="13"/>
    </row>
    <row r="2" spans="1:19" x14ac:dyDescent="0.25">
      <c r="A2" s="13"/>
      <c r="B2" s="13"/>
      <c r="C2" s="13"/>
      <c r="D2" s="13"/>
      <c r="E2" s="13"/>
      <c r="F2" s="13"/>
      <c r="G2" s="13"/>
      <c r="H2" s="13"/>
      <c r="I2" s="13"/>
      <c r="J2" s="13"/>
      <c r="K2" s="13"/>
      <c r="L2" s="13"/>
      <c r="M2" s="13"/>
      <c r="N2" s="13"/>
      <c r="O2" s="13"/>
      <c r="P2" s="13"/>
      <c r="Q2" s="13"/>
      <c r="R2" s="13"/>
      <c r="S2" s="13"/>
    </row>
    <row r="3" spans="1:19" ht="18.75" x14ac:dyDescent="0.3">
      <c r="A3" s="25" t="s">
        <v>53</v>
      </c>
      <c r="B3" s="25" t="s">
        <v>52</v>
      </c>
      <c r="C3" s="13"/>
      <c r="D3" s="13"/>
      <c r="E3" s="13"/>
      <c r="F3" s="13"/>
      <c r="G3" s="13"/>
      <c r="H3" s="13"/>
      <c r="I3" s="13"/>
      <c r="J3" s="13"/>
      <c r="K3" s="13"/>
      <c r="L3" s="13"/>
      <c r="M3" s="13"/>
      <c r="N3" s="13"/>
      <c r="O3" s="13"/>
      <c r="P3" s="13"/>
      <c r="Q3" s="13"/>
      <c r="R3" s="13"/>
      <c r="S3" s="13"/>
    </row>
    <row r="4" spans="1:19" ht="18.75" x14ac:dyDescent="0.3">
      <c r="A4" s="26" t="s">
        <v>42</v>
      </c>
      <c r="B4" s="27">
        <v>1</v>
      </c>
      <c r="C4" s="13"/>
      <c r="D4" s="13"/>
      <c r="E4" s="13"/>
      <c r="F4" s="13"/>
      <c r="G4" s="13"/>
      <c r="H4" s="13"/>
      <c r="I4" s="13"/>
      <c r="J4" s="13"/>
      <c r="K4" s="13"/>
      <c r="L4" s="13"/>
      <c r="M4" s="13"/>
      <c r="N4" s="13"/>
      <c r="O4" s="13"/>
      <c r="P4" s="13"/>
      <c r="Q4" s="13"/>
      <c r="R4" s="13"/>
      <c r="S4" s="13"/>
    </row>
    <row r="5" spans="1:19" ht="18.75" x14ac:dyDescent="0.3">
      <c r="C5" s="13"/>
      <c r="D5" s="13"/>
      <c r="E5" s="13"/>
      <c r="F5" s="13"/>
      <c r="G5" s="13"/>
      <c r="H5" s="13"/>
      <c r="I5" s="13"/>
      <c r="J5" s="13"/>
      <c r="K5" s="13"/>
      <c r="L5" s="13"/>
      <c r="M5" s="13"/>
      <c r="N5" s="13"/>
      <c r="O5" s="13"/>
      <c r="P5" s="13"/>
      <c r="Q5" s="13"/>
      <c r="R5" s="13"/>
      <c r="S5" s="13"/>
    </row>
    <row r="6" spans="1:19" ht="18.75" x14ac:dyDescent="0.3">
      <c r="C6" s="13"/>
      <c r="D6" s="13"/>
      <c r="E6" s="13"/>
      <c r="F6" s="13"/>
      <c r="G6" s="13"/>
      <c r="H6" s="13"/>
      <c r="I6" s="13"/>
      <c r="J6" s="13"/>
      <c r="K6" s="13"/>
      <c r="L6" s="13"/>
      <c r="M6" s="13"/>
      <c r="N6" s="13"/>
      <c r="O6" s="13"/>
      <c r="P6" s="13"/>
      <c r="Q6" s="13"/>
      <c r="R6" s="13"/>
      <c r="S6" s="13"/>
    </row>
    <row r="7" spans="1:19" ht="18.75" x14ac:dyDescent="0.3">
      <c r="C7" s="13"/>
      <c r="D7" s="13"/>
      <c r="E7" s="13"/>
      <c r="F7" s="13"/>
      <c r="G7" s="13"/>
      <c r="H7" s="13"/>
      <c r="I7" s="13"/>
      <c r="J7" s="13"/>
      <c r="K7" s="13"/>
      <c r="L7" s="13"/>
      <c r="M7" s="13"/>
      <c r="N7" s="13"/>
      <c r="O7" s="13"/>
      <c r="P7" s="13"/>
      <c r="Q7" s="13"/>
      <c r="R7" s="13"/>
      <c r="S7" s="13"/>
    </row>
    <row r="8" spans="1:19" ht="18.75" x14ac:dyDescent="0.3">
      <c r="C8" s="13"/>
      <c r="D8" s="13"/>
      <c r="E8" s="13"/>
      <c r="F8" s="13"/>
      <c r="G8" s="13"/>
      <c r="H8" s="13"/>
      <c r="I8" s="13"/>
      <c r="J8" s="13"/>
      <c r="K8" s="13"/>
      <c r="L8" s="13"/>
      <c r="M8" s="13"/>
      <c r="N8" s="13"/>
      <c r="O8" s="13"/>
      <c r="P8" s="13"/>
      <c r="Q8" s="13"/>
      <c r="R8" s="13"/>
      <c r="S8" s="13"/>
    </row>
    <row r="9" spans="1:19" ht="18.75" x14ac:dyDescent="0.3">
      <c r="C9" s="13"/>
      <c r="D9" s="13"/>
      <c r="E9" s="13"/>
      <c r="F9" s="13"/>
      <c r="G9" s="13"/>
      <c r="H9" s="13"/>
      <c r="I9" s="13"/>
      <c r="J9" s="13"/>
      <c r="K9" s="13"/>
      <c r="L9" s="13"/>
      <c r="M9" s="13"/>
      <c r="N9" s="13"/>
      <c r="O9" s="13"/>
      <c r="P9" s="13"/>
      <c r="Q9" s="13"/>
      <c r="R9" s="13"/>
      <c r="S9" s="13"/>
    </row>
    <row r="10" spans="1:19" ht="18.75" x14ac:dyDescent="0.3">
      <c r="C10" s="13"/>
      <c r="D10" s="13"/>
      <c r="E10" s="13"/>
      <c r="F10" s="13"/>
      <c r="G10" s="13"/>
      <c r="H10" s="13"/>
      <c r="I10" s="13"/>
      <c r="J10" s="13"/>
      <c r="K10" s="13"/>
      <c r="L10" s="13"/>
      <c r="M10" s="13"/>
      <c r="N10" s="13"/>
      <c r="O10" s="13"/>
      <c r="P10" s="13"/>
      <c r="Q10" s="13"/>
      <c r="R10" s="13"/>
      <c r="S10" s="13"/>
    </row>
    <row r="11" spans="1:19" ht="18.75" x14ac:dyDescent="0.3">
      <c r="C11" s="13"/>
      <c r="D11" s="13"/>
      <c r="E11" s="13"/>
      <c r="F11" s="13"/>
      <c r="G11" s="13"/>
      <c r="H11" s="13"/>
      <c r="I11" s="13"/>
      <c r="J11" s="13"/>
      <c r="K11" s="13"/>
      <c r="L11" s="13"/>
      <c r="M11" s="13"/>
      <c r="N11" s="13"/>
      <c r="O11" s="13"/>
      <c r="P11" s="13"/>
      <c r="Q11" s="13"/>
      <c r="R11" s="13"/>
      <c r="S11" s="13"/>
    </row>
    <row r="12" spans="1:19" x14ac:dyDescent="0.25">
      <c r="A12" s="13"/>
      <c r="B12" s="13"/>
      <c r="C12" s="13"/>
      <c r="D12" s="13"/>
      <c r="E12" s="13"/>
      <c r="F12" s="13"/>
      <c r="G12" s="13"/>
      <c r="H12" s="13"/>
      <c r="I12" s="13"/>
      <c r="J12" s="13"/>
      <c r="K12" s="13"/>
      <c r="L12" s="13"/>
      <c r="M12" s="13"/>
      <c r="N12" s="13"/>
      <c r="O12" s="13"/>
      <c r="P12" s="13"/>
      <c r="Q12" s="13"/>
      <c r="R12" s="13"/>
      <c r="S12" s="13"/>
    </row>
    <row r="13" spans="1:19" x14ac:dyDescent="0.25">
      <c r="A13" s="13"/>
      <c r="B13" s="13"/>
      <c r="C13" s="13"/>
      <c r="D13" s="13"/>
      <c r="E13" s="13"/>
      <c r="F13" s="13"/>
      <c r="G13" s="13"/>
      <c r="H13" s="13"/>
      <c r="I13" s="13"/>
      <c r="J13" s="13"/>
      <c r="K13" s="13"/>
      <c r="L13" s="13"/>
      <c r="M13" s="13"/>
      <c r="N13" s="13"/>
      <c r="O13" s="13"/>
      <c r="P13" s="13"/>
      <c r="Q13" s="13"/>
      <c r="R13" s="13"/>
      <c r="S13" s="13"/>
    </row>
    <row r="14" spans="1:19" x14ac:dyDescent="0.25">
      <c r="A14" s="13"/>
      <c r="B14" s="13"/>
      <c r="C14" s="13"/>
      <c r="D14" s="13"/>
      <c r="E14" s="13"/>
      <c r="F14" s="13"/>
      <c r="G14" s="13"/>
      <c r="H14" s="13"/>
      <c r="I14" s="13"/>
      <c r="J14" s="13"/>
      <c r="K14" s="13"/>
      <c r="L14" s="13"/>
      <c r="M14" s="13"/>
      <c r="N14" s="13"/>
      <c r="O14" s="13"/>
      <c r="P14" s="13"/>
      <c r="Q14" s="13"/>
      <c r="R14" s="13"/>
      <c r="S14" s="13"/>
    </row>
    <row r="15" spans="1:19" x14ac:dyDescent="0.25">
      <c r="A15" s="13"/>
      <c r="B15" s="13"/>
      <c r="C15" s="13"/>
      <c r="D15" s="13"/>
      <c r="E15" s="13"/>
      <c r="F15" s="13"/>
      <c r="G15" s="13"/>
      <c r="H15" s="13"/>
      <c r="I15" s="13"/>
      <c r="J15" s="13"/>
      <c r="K15" s="13"/>
      <c r="L15" s="13"/>
      <c r="M15" s="13"/>
      <c r="N15" s="13"/>
      <c r="O15" s="13"/>
      <c r="P15" s="13"/>
      <c r="Q15" s="13"/>
      <c r="R15" s="13"/>
      <c r="S15" s="13"/>
    </row>
    <row r="16" spans="1:19" x14ac:dyDescent="0.25">
      <c r="A16" s="13"/>
      <c r="B16" s="13"/>
      <c r="C16" s="13"/>
      <c r="D16" s="13"/>
      <c r="E16" s="13"/>
      <c r="F16" s="13"/>
      <c r="G16" s="13"/>
      <c r="H16" s="13"/>
      <c r="I16" s="13"/>
      <c r="J16" s="13"/>
      <c r="K16" s="13"/>
      <c r="L16" s="13"/>
      <c r="M16" s="13"/>
      <c r="N16" s="13"/>
      <c r="O16" s="13"/>
      <c r="P16" s="13"/>
      <c r="Q16" s="13"/>
      <c r="R16" s="13"/>
      <c r="S16" s="13"/>
    </row>
    <row r="17" spans="1:19" x14ac:dyDescent="0.25">
      <c r="A17" s="13"/>
      <c r="B17" s="13"/>
      <c r="C17" s="13"/>
      <c r="D17" s="13"/>
      <c r="E17" s="13"/>
      <c r="F17" s="13"/>
      <c r="G17" s="13"/>
      <c r="H17" s="13"/>
      <c r="I17" s="13"/>
      <c r="J17" s="13"/>
      <c r="K17" s="13"/>
      <c r="L17" s="13"/>
      <c r="M17" s="13"/>
      <c r="N17" s="13"/>
      <c r="O17" s="13"/>
      <c r="P17" s="13"/>
      <c r="Q17" s="13"/>
      <c r="R17" s="13"/>
      <c r="S17" s="13"/>
    </row>
    <row r="18" spans="1:19" x14ac:dyDescent="0.25">
      <c r="A18" s="13"/>
      <c r="B18" s="13"/>
      <c r="C18" s="13"/>
      <c r="D18" s="13"/>
      <c r="E18" s="13"/>
      <c r="F18" s="13"/>
      <c r="G18" s="13"/>
      <c r="H18" s="13"/>
      <c r="I18" s="13"/>
      <c r="J18" s="13"/>
      <c r="K18" s="13"/>
      <c r="L18" s="13"/>
      <c r="M18" s="13"/>
      <c r="N18" s="13"/>
      <c r="O18" s="13"/>
      <c r="P18" s="13"/>
      <c r="Q18" s="13"/>
      <c r="R18" s="13"/>
      <c r="S18" s="13"/>
    </row>
    <row r="19" spans="1:19" x14ac:dyDescent="0.25">
      <c r="A19" s="13"/>
      <c r="B19" s="13"/>
      <c r="C19" s="13"/>
      <c r="D19" s="13"/>
      <c r="E19" s="13"/>
      <c r="F19" s="13"/>
      <c r="G19" s="13"/>
      <c r="H19" s="13"/>
      <c r="I19" s="13"/>
      <c r="J19" s="13"/>
      <c r="K19" s="13"/>
      <c r="L19" s="13"/>
      <c r="M19" s="13"/>
      <c r="N19" s="13"/>
      <c r="O19" s="13"/>
      <c r="P19" s="13"/>
      <c r="Q19" s="13"/>
      <c r="R19" s="13"/>
      <c r="S19" s="13"/>
    </row>
    <row r="20" spans="1:19" x14ac:dyDescent="0.25">
      <c r="A20" s="13"/>
      <c r="B20" s="13"/>
      <c r="C20" s="13"/>
      <c r="D20" s="13"/>
      <c r="E20" s="13"/>
      <c r="F20" s="13"/>
      <c r="G20" s="13"/>
      <c r="H20" s="13"/>
      <c r="I20" s="13"/>
      <c r="J20" s="13"/>
      <c r="K20" s="13"/>
      <c r="L20" s="13"/>
      <c r="M20" s="13"/>
      <c r="N20" s="13"/>
      <c r="O20" s="13"/>
      <c r="P20" s="13"/>
      <c r="Q20" s="13"/>
      <c r="R20" s="13"/>
      <c r="S20" s="13"/>
    </row>
    <row r="21" spans="1:19" x14ac:dyDescent="0.25">
      <c r="A21" s="13"/>
      <c r="B21" s="13"/>
      <c r="C21" s="13"/>
      <c r="D21" s="13"/>
      <c r="E21" s="13"/>
      <c r="F21" s="13"/>
      <c r="G21" s="13"/>
      <c r="H21" s="13"/>
      <c r="I21" s="13"/>
      <c r="J21" s="13"/>
      <c r="K21" s="13"/>
      <c r="L21" s="13"/>
      <c r="M21" s="13"/>
      <c r="N21" s="13"/>
      <c r="O21" s="13"/>
      <c r="P21" s="13"/>
      <c r="Q21" s="13"/>
      <c r="R21" s="13"/>
      <c r="S21" s="13"/>
    </row>
    <row r="22" spans="1:19" x14ac:dyDescent="0.25">
      <c r="A22" s="13"/>
      <c r="B22" s="13"/>
      <c r="C22" s="13"/>
      <c r="D22" s="13"/>
      <c r="E22" s="13"/>
      <c r="F22" s="13"/>
      <c r="G22" s="13"/>
      <c r="H22" s="13"/>
      <c r="I22" s="13"/>
      <c r="J22" s="13"/>
      <c r="K22" s="13"/>
      <c r="L22" s="13"/>
      <c r="M22" s="13"/>
      <c r="N22" s="13"/>
      <c r="O22" s="13"/>
      <c r="P22" s="13"/>
      <c r="Q22" s="13"/>
      <c r="R22" s="13"/>
      <c r="S22" s="13"/>
    </row>
    <row r="23" spans="1:19" x14ac:dyDescent="0.25">
      <c r="A23" s="13"/>
      <c r="B23" s="13"/>
      <c r="C23" s="13"/>
      <c r="D23" s="13"/>
      <c r="E23" s="13"/>
      <c r="F23" s="13"/>
      <c r="G23" s="13"/>
      <c r="H23" s="13"/>
      <c r="I23" s="13"/>
      <c r="J23" s="13"/>
      <c r="K23" s="13"/>
      <c r="L23" s="13"/>
      <c r="M23" s="13"/>
      <c r="N23" s="13"/>
      <c r="O23" s="13"/>
      <c r="P23" s="13"/>
      <c r="Q23" s="13"/>
      <c r="R23" s="13"/>
      <c r="S23" s="13"/>
    </row>
    <row r="24" spans="1:19" x14ac:dyDescent="0.25">
      <c r="A24" s="13"/>
      <c r="B24" s="13"/>
      <c r="C24" s="13"/>
      <c r="D24" s="13"/>
      <c r="E24" s="13"/>
      <c r="F24" s="13"/>
      <c r="G24" s="13"/>
      <c r="H24" s="13"/>
      <c r="I24" s="13"/>
      <c r="J24" s="13"/>
      <c r="K24" s="13"/>
      <c r="L24" s="13"/>
      <c r="M24" s="13"/>
      <c r="N24" s="13"/>
      <c r="O24" s="13"/>
      <c r="P24" s="13"/>
      <c r="Q24" s="13"/>
      <c r="R24" s="13"/>
      <c r="S24" s="13"/>
    </row>
    <row r="25" spans="1:19" x14ac:dyDescent="0.25">
      <c r="A25" s="13"/>
      <c r="B25" s="13"/>
      <c r="C25" s="13"/>
      <c r="D25" s="13"/>
      <c r="E25" s="13"/>
      <c r="F25" s="13"/>
      <c r="G25" s="13"/>
      <c r="H25" s="13"/>
      <c r="I25" s="13"/>
      <c r="J25" s="13"/>
      <c r="K25" s="13"/>
      <c r="L25" s="13"/>
      <c r="M25" s="13"/>
      <c r="N25" s="13"/>
      <c r="O25" s="13"/>
      <c r="P25" s="13"/>
      <c r="Q25" s="13"/>
      <c r="R25" s="13"/>
      <c r="S25" s="13"/>
    </row>
    <row r="26" spans="1:19" x14ac:dyDescent="0.25">
      <c r="A26" s="13"/>
      <c r="B26" s="13"/>
      <c r="C26" s="13"/>
      <c r="D26" s="13"/>
      <c r="E26" s="13"/>
      <c r="F26" s="13"/>
      <c r="G26" s="13"/>
      <c r="H26" s="13"/>
      <c r="I26" s="13"/>
      <c r="J26" s="13"/>
      <c r="K26" s="13"/>
      <c r="L26" s="13"/>
      <c r="M26" s="13"/>
      <c r="N26" s="13"/>
      <c r="O26" s="13"/>
      <c r="P26" s="13"/>
      <c r="Q26" s="13"/>
      <c r="R26" s="13"/>
      <c r="S26" s="13"/>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240F2-0DA6-4C9A-A4FD-862F167B246C}">
  <dimension ref="A1:AF71"/>
  <sheetViews>
    <sheetView showGridLines="0" workbookViewId="0">
      <selection activeCell="A10" sqref="A10"/>
    </sheetView>
  </sheetViews>
  <sheetFormatPr defaultRowHeight="15" x14ac:dyDescent="0.25"/>
  <cols>
    <col min="1" max="1" width="21.42578125" bestFit="1" customWidth="1"/>
    <col min="2" max="2" width="20.140625" bestFit="1" customWidth="1"/>
    <col min="3" max="3" width="10.140625" bestFit="1" customWidth="1"/>
    <col min="4" max="4" width="11.28515625" bestFit="1" customWidth="1"/>
  </cols>
  <sheetData>
    <row r="1" spans="1:32" x14ac:dyDescent="0.25">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1:32" x14ac:dyDescent="0.25">
      <c r="A2" s="28"/>
      <c r="B2" s="28"/>
      <c r="C2" s="28"/>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ht="18.75" x14ac:dyDescent="0.3">
      <c r="A3" s="41" t="s">
        <v>56</v>
      </c>
      <c r="B3" s="41" t="s">
        <v>80</v>
      </c>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4" spans="1:32" ht="18.75" x14ac:dyDescent="0.3">
      <c r="A4" s="41" t="s">
        <v>53</v>
      </c>
      <c r="B4" s="41" t="s">
        <v>13</v>
      </c>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ht="18.75" x14ac:dyDescent="0.3">
      <c r="A5" s="42" t="s">
        <v>48</v>
      </c>
      <c r="B5" s="43">
        <v>1</v>
      </c>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ht="18.75" x14ac:dyDescent="0.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row>
    <row r="7" spans="1:32" ht="18.75" x14ac:dyDescent="0.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row>
    <row r="9" spans="1:32"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row>
    <row r="60" spans="1:32"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row>
    <row r="61" spans="1:32"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row>
    <row r="62" spans="1:32" x14ac:dyDescent="0.25">
      <c r="K62" s="13"/>
      <c r="L62" s="13"/>
      <c r="M62" s="13"/>
      <c r="N62" s="13"/>
      <c r="O62" s="13"/>
      <c r="P62" s="13"/>
      <c r="Q62" s="13"/>
      <c r="R62" s="13"/>
      <c r="S62" s="13"/>
      <c r="T62" s="13"/>
      <c r="U62" s="13"/>
      <c r="V62" s="13"/>
      <c r="W62" s="13"/>
      <c r="X62" s="13"/>
      <c r="Y62" s="13"/>
      <c r="Z62" s="13"/>
      <c r="AA62" s="13"/>
      <c r="AB62" s="13"/>
      <c r="AC62" s="13"/>
      <c r="AD62" s="13"/>
      <c r="AE62" s="13"/>
      <c r="AF62" s="13"/>
    </row>
    <row r="63" spans="1:32" x14ac:dyDescent="0.25">
      <c r="K63" s="13"/>
      <c r="L63" s="13"/>
      <c r="M63" s="13"/>
      <c r="N63" s="13"/>
      <c r="O63" s="13"/>
      <c r="P63" s="13"/>
      <c r="Q63" s="13"/>
      <c r="R63" s="13"/>
      <c r="S63" s="13"/>
      <c r="T63" s="13"/>
      <c r="U63" s="13"/>
      <c r="V63" s="13"/>
      <c r="W63" s="13"/>
      <c r="X63" s="13"/>
      <c r="Y63" s="13"/>
      <c r="Z63" s="13"/>
      <c r="AA63" s="13"/>
      <c r="AB63" s="13"/>
      <c r="AC63" s="13"/>
      <c r="AD63" s="13"/>
      <c r="AE63" s="13"/>
      <c r="AF63" s="13"/>
    </row>
    <row r="64" spans="1:32" x14ac:dyDescent="0.25">
      <c r="K64" s="13"/>
      <c r="L64" s="13"/>
      <c r="M64" s="13"/>
      <c r="N64" s="13"/>
      <c r="O64" s="13"/>
      <c r="P64" s="13"/>
      <c r="Q64" s="13"/>
      <c r="R64" s="13"/>
      <c r="S64" s="13"/>
      <c r="T64" s="13"/>
      <c r="U64" s="13"/>
      <c r="V64" s="13"/>
      <c r="W64" s="13"/>
      <c r="X64" s="13"/>
      <c r="Y64" s="13"/>
      <c r="Z64" s="13"/>
      <c r="AA64" s="13"/>
      <c r="AB64" s="13"/>
      <c r="AC64" s="13"/>
      <c r="AD64" s="13"/>
      <c r="AE64" s="13"/>
      <c r="AF64" s="13"/>
    </row>
    <row r="65" spans="11:32" x14ac:dyDescent="0.25">
      <c r="K65" s="13"/>
      <c r="L65" s="13"/>
      <c r="M65" s="13"/>
      <c r="N65" s="13"/>
      <c r="O65" s="13"/>
      <c r="P65" s="13"/>
      <c r="Q65" s="13"/>
      <c r="R65" s="13"/>
      <c r="S65" s="13"/>
      <c r="T65" s="13"/>
      <c r="U65" s="13"/>
      <c r="V65" s="13"/>
      <c r="W65" s="13"/>
      <c r="X65" s="13"/>
      <c r="Y65" s="13"/>
      <c r="Z65" s="13"/>
      <c r="AA65" s="13"/>
      <c r="AB65" s="13"/>
      <c r="AC65" s="13"/>
      <c r="AD65" s="13"/>
      <c r="AE65" s="13"/>
      <c r="AF65" s="13"/>
    </row>
    <row r="66" spans="11:32" x14ac:dyDescent="0.25">
      <c r="K66" s="13"/>
      <c r="L66" s="13"/>
      <c r="M66" s="13"/>
      <c r="N66" s="13"/>
      <c r="O66" s="13"/>
      <c r="P66" s="13"/>
      <c r="Q66" s="13"/>
      <c r="R66" s="13"/>
      <c r="S66" s="13"/>
      <c r="T66" s="13"/>
      <c r="U66" s="13"/>
      <c r="V66" s="13"/>
      <c r="W66" s="13"/>
      <c r="X66" s="13"/>
      <c r="Y66" s="13"/>
      <c r="Z66" s="13"/>
      <c r="AA66" s="13"/>
      <c r="AB66" s="13"/>
      <c r="AC66" s="13"/>
      <c r="AD66" s="13"/>
      <c r="AE66" s="13"/>
      <c r="AF66" s="13"/>
    </row>
    <row r="67" spans="11:32" x14ac:dyDescent="0.25">
      <c r="K67" s="13"/>
      <c r="L67" s="13"/>
      <c r="M67" s="13"/>
      <c r="N67" s="13"/>
      <c r="O67" s="13"/>
      <c r="P67" s="13"/>
      <c r="Q67" s="13"/>
      <c r="R67" s="13"/>
      <c r="S67" s="13"/>
      <c r="T67" s="13"/>
      <c r="U67" s="13"/>
      <c r="V67" s="13"/>
      <c r="W67" s="13"/>
      <c r="X67" s="13"/>
      <c r="Y67" s="13"/>
      <c r="Z67" s="13"/>
      <c r="AA67" s="13"/>
      <c r="AB67" s="13"/>
      <c r="AC67" s="13"/>
      <c r="AD67" s="13"/>
      <c r="AE67" s="13"/>
      <c r="AF67" s="13"/>
    </row>
    <row r="68" spans="11:32" x14ac:dyDescent="0.25">
      <c r="K68" s="13"/>
      <c r="L68" s="13"/>
      <c r="M68" s="13"/>
      <c r="N68" s="13"/>
      <c r="O68" s="13"/>
      <c r="P68" s="13"/>
      <c r="Q68" s="13"/>
      <c r="R68" s="13"/>
      <c r="S68" s="13"/>
      <c r="T68" s="13"/>
      <c r="U68" s="13"/>
      <c r="V68" s="13"/>
      <c r="W68" s="13"/>
      <c r="X68" s="13"/>
      <c r="Y68" s="13"/>
      <c r="Z68" s="13"/>
      <c r="AA68" s="13"/>
      <c r="AB68" s="13"/>
      <c r="AC68" s="13"/>
      <c r="AD68" s="13"/>
      <c r="AE68" s="13"/>
      <c r="AF68" s="13"/>
    </row>
    <row r="69" spans="11:32" x14ac:dyDescent="0.25">
      <c r="K69" s="13"/>
      <c r="L69" s="13"/>
      <c r="M69" s="13"/>
      <c r="N69" s="13"/>
      <c r="O69" s="13"/>
      <c r="P69" s="13"/>
      <c r="Q69" s="13"/>
      <c r="R69" s="13"/>
      <c r="S69" s="13"/>
      <c r="T69" s="13"/>
      <c r="U69" s="13"/>
      <c r="V69" s="13"/>
      <c r="W69" s="13"/>
      <c r="X69" s="13"/>
      <c r="Y69" s="13"/>
      <c r="Z69" s="13"/>
      <c r="AA69" s="13"/>
      <c r="AB69" s="13"/>
      <c r="AC69" s="13"/>
      <c r="AD69" s="13"/>
      <c r="AE69" s="13"/>
      <c r="AF69" s="13"/>
    </row>
    <row r="70" spans="11:32" x14ac:dyDescent="0.25">
      <c r="K70" s="13"/>
      <c r="L70" s="13"/>
      <c r="M70" s="13"/>
      <c r="N70" s="13"/>
      <c r="O70" s="13"/>
      <c r="P70" s="13"/>
      <c r="Q70" s="13"/>
      <c r="R70" s="13"/>
      <c r="S70" s="13"/>
      <c r="T70" s="13"/>
      <c r="U70" s="13"/>
      <c r="V70" s="13"/>
      <c r="W70" s="13"/>
      <c r="X70" s="13"/>
      <c r="Y70" s="13"/>
      <c r="Z70" s="13"/>
      <c r="AA70" s="13"/>
      <c r="AB70" s="13"/>
      <c r="AC70" s="13"/>
      <c r="AD70" s="13"/>
      <c r="AE70" s="13"/>
      <c r="AF70" s="13"/>
    </row>
    <row r="71" spans="11:32" x14ac:dyDescent="0.25">
      <c r="K71" s="13"/>
      <c r="L71" s="13"/>
      <c r="M71" s="13"/>
      <c r="N71" s="13"/>
      <c r="O71" s="13"/>
      <c r="P71" s="13"/>
      <c r="Q71" s="13"/>
      <c r="R71" s="13"/>
      <c r="S71" s="13"/>
      <c r="T71" s="13"/>
      <c r="U71" s="13"/>
      <c r="V71" s="13"/>
      <c r="W71" s="13"/>
      <c r="X71" s="13"/>
      <c r="Y71" s="13"/>
      <c r="Z71" s="13"/>
      <c r="AA71" s="13"/>
      <c r="AB71" s="13"/>
      <c r="AC71" s="13"/>
      <c r="AD71" s="13"/>
      <c r="AE71" s="13"/>
      <c r="AF71" s="13"/>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D2DBC-6F8F-4D35-9642-01E6F5174284}">
  <dimension ref="A1:X33"/>
  <sheetViews>
    <sheetView showGridLines="0" workbookViewId="0">
      <selection activeCell="G24" sqref="G24"/>
    </sheetView>
  </sheetViews>
  <sheetFormatPr defaultRowHeight="15" x14ac:dyDescent="0.25"/>
  <cols>
    <col min="1" max="1" width="16.42578125" bestFit="1" customWidth="1"/>
    <col min="2" max="2" width="21.42578125" bestFit="1" customWidth="1"/>
    <col min="3" max="3" width="21.5703125" customWidth="1"/>
  </cols>
  <sheetData>
    <row r="1" spans="1:24" x14ac:dyDescent="0.25">
      <c r="A1" s="13"/>
      <c r="B1" s="13"/>
      <c r="C1" s="13"/>
      <c r="D1" s="13"/>
      <c r="E1" s="13"/>
      <c r="F1" s="13"/>
      <c r="G1" s="13"/>
      <c r="H1" s="13"/>
      <c r="I1" s="13"/>
      <c r="J1" s="13"/>
      <c r="K1" s="13"/>
      <c r="L1" s="13"/>
      <c r="M1" s="13"/>
      <c r="N1" s="13"/>
      <c r="O1" s="13"/>
      <c r="P1" s="13"/>
      <c r="Q1" s="13"/>
      <c r="R1" s="13"/>
      <c r="S1" s="13"/>
      <c r="T1" s="13"/>
      <c r="U1" s="13"/>
      <c r="V1" s="13"/>
      <c r="W1" s="13"/>
      <c r="X1" s="13"/>
    </row>
    <row r="2" spans="1:24" x14ac:dyDescent="0.25">
      <c r="A2" s="13"/>
      <c r="B2" s="13"/>
      <c r="C2" s="13"/>
      <c r="D2" s="13"/>
      <c r="E2" s="13"/>
      <c r="F2" s="13"/>
      <c r="G2" s="13"/>
      <c r="H2" s="13"/>
      <c r="I2" s="13"/>
      <c r="J2" s="13"/>
      <c r="K2" s="13"/>
      <c r="L2" s="13"/>
      <c r="M2" s="13"/>
      <c r="N2" s="13"/>
      <c r="O2" s="13"/>
      <c r="P2" s="13"/>
      <c r="Q2" s="13"/>
      <c r="R2" s="13"/>
      <c r="S2" s="13"/>
      <c r="T2" s="13"/>
      <c r="U2" s="13"/>
      <c r="V2" s="13"/>
      <c r="W2" s="13"/>
      <c r="X2" s="13"/>
    </row>
    <row r="3" spans="1:24" ht="18.75" x14ac:dyDescent="0.3">
      <c r="A3" s="38" t="s">
        <v>53</v>
      </c>
      <c r="B3" s="38" t="s">
        <v>56</v>
      </c>
      <c r="C3" s="13"/>
      <c r="D3" s="13"/>
      <c r="E3" s="13"/>
      <c r="F3" s="13"/>
      <c r="G3" s="13"/>
      <c r="H3" s="13"/>
      <c r="I3" s="13"/>
      <c r="J3" s="13"/>
      <c r="K3" s="13"/>
      <c r="L3" s="13"/>
      <c r="M3" s="13"/>
      <c r="N3" s="13"/>
      <c r="O3" s="13"/>
      <c r="P3" s="13"/>
      <c r="Q3" s="13"/>
      <c r="R3" s="13"/>
      <c r="S3" s="13"/>
      <c r="T3" s="13"/>
      <c r="U3" s="13"/>
      <c r="V3" s="13"/>
      <c r="W3" s="13"/>
      <c r="X3" s="13"/>
    </row>
    <row r="4" spans="1:24" ht="18.75" x14ac:dyDescent="0.3">
      <c r="A4" s="39" t="s">
        <v>15</v>
      </c>
      <c r="B4" s="40">
        <v>1</v>
      </c>
      <c r="C4" s="13"/>
      <c r="D4" s="13"/>
      <c r="E4" s="13"/>
      <c r="F4" s="13"/>
      <c r="G4" s="13"/>
      <c r="H4" s="13"/>
      <c r="I4" s="13"/>
      <c r="J4" s="13"/>
      <c r="K4" s="13"/>
      <c r="L4" s="13"/>
      <c r="M4" s="13"/>
      <c r="N4" s="13"/>
      <c r="O4" s="13"/>
      <c r="P4" s="13"/>
      <c r="Q4" s="13"/>
      <c r="R4" s="13"/>
      <c r="S4" s="13"/>
      <c r="T4" s="13"/>
      <c r="U4" s="13"/>
      <c r="V4" s="13"/>
      <c r="W4" s="13"/>
      <c r="X4" s="13"/>
    </row>
    <row r="5" spans="1:24" x14ac:dyDescent="0.25">
      <c r="C5" s="13"/>
      <c r="D5" s="13"/>
      <c r="E5" s="13"/>
      <c r="F5" s="13"/>
      <c r="G5" s="13"/>
      <c r="H5" s="13"/>
      <c r="I5" s="13"/>
      <c r="J5" s="13"/>
      <c r="K5" s="13"/>
      <c r="L5" s="13"/>
      <c r="M5" s="13"/>
      <c r="N5" s="13"/>
      <c r="O5" s="13"/>
      <c r="P5" s="13"/>
      <c r="Q5" s="13"/>
      <c r="R5" s="13"/>
      <c r="S5" s="13"/>
      <c r="T5" s="13"/>
      <c r="U5" s="13"/>
      <c r="V5" s="13"/>
      <c r="W5" s="13"/>
      <c r="X5" s="13"/>
    </row>
    <row r="6" spans="1:24" x14ac:dyDescent="0.25">
      <c r="C6" s="13"/>
      <c r="D6" s="13"/>
      <c r="E6" s="13"/>
      <c r="F6" s="13"/>
      <c r="G6" s="13"/>
      <c r="H6" s="13"/>
      <c r="I6" s="13"/>
      <c r="J6" s="13"/>
      <c r="K6" s="13"/>
      <c r="L6" s="13"/>
      <c r="M6" s="13"/>
      <c r="N6" s="13"/>
      <c r="O6" s="13"/>
      <c r="P6" s="13"/>
      <c r="Q6" s="13"/>
      <c r="R6" s="13"/>
      <c r="S6" s="13"/>
      <c r="T6" s="13"/>
      <c r="U6" s="13"/>
      <c r="V6" s="13"/>
      <c r="W6" s="13"/>
      <c r="X6" s="13"/>
    </row>
    <row r="7" spans="1:24" x14ac:dyDescent="0.25">
      <c r="C7" s="13"/>
      <c r="D7" s="13"/>
      <c r="E7" s="13"/>
      <c r="F7" s="13"/>
      <c r="G7" s="13"/>
      <c r="H7" s="13"/>
      <c r="I7" s="13"/>
      <c r="J7" s="13"/>
      <c r="K7" s="13"/>
      <c r="L7" s="13"/>
      <c r="M7" s="13"/>
      <c r="N7" s="13"/>
      <c r="O7" s="13"/>
      <c r="P7" s="13"/>
      <c r="Q7" s="13"/>
      <c r="R7" s="13"/>
      <c r="S7" s="13"/>
      <c r="T7" s="13"/>
      <c r="U7" s="13"/>
      <c r="V7" s="13"/>
      <c r="W7" s="13"/>
      <c r="X7" s="13"/>
    </row>
    <row r="8" spans="1:24" x14ac:dyDescent="0.25">
      <c r="C8" s="13"/>
      <c r="D8" s="13"/>
      <c r="E8" s="13"/>
      <c r="F8" s="13"/>
      <c r="G8" s="13"/>
      <c r="H8" s="13"/>
      <c r="I8" s="13"/>
      <c r="J8" s="13"/>
      <c r="K8" s="13"/>
      <c r="L8" s="13"/>
      <c r="M8" s="13"/>
      <c r="N8" s="13"/>
      <c r="O8" s="13"/>
      <c r="P8" s="13"/>
      <c r="Q8" s="13"/>
      <c r="R8" s="13"/>
      <c r="S8" s="13"/>
      <c r="T8" s="13"/>
      <c r="U8" s="13"/>
      <c r="V8" s="13"/>
      <c r="W8" s="13"/>
      <c r="X8" s="13"/>
    </row>
    <row r="9" spans="1:24" x14ac:dyDescent="0.25">
      <c r="A9" s="28"/>
      <c r="B9" s="28"/>
      <c r="C9" s="13"/>
      <c r="D9" s="13"/>
      <c r="E9" s="13"/>
      <c r="F9" s="13"/>
      <c r="G9" s="13"/>
      <c r="H9" s="13"/>
      <c r="I9" s="13"/>
      <c r="J9" s="13"/>
      <c r="K9" s="13"/>
      <c r="L9" s="13"/>
      <c r="M9" s="13"/>
      <c r="N9" s="13"/>
      <c r="O9" s="13"/>
      <c r="P9" s="13"/>
      <c r="Q9" s="13"/>
      <c r="R9" s="13"/>
      <c r="S9" s="13"/>
      <c r="T9" s="13"/>
      <c r="U9" s="13"/>
      <c r="V9" s="13"/>
      <c r="W9" s="13"/>
      <c r="X9" s="13"/>
    </row>
    <row r="10" spans="1:24"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row>
    <row r="11" spans="1:24"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row>
    <row r="12" spans="1:24"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row>
    <row r="13" spans="1:24"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row>
    <row r="14" spans="1:24"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4"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row>
    <row r="16" spans="1:24"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row>
    <row r="17" spans="1:24"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row>
    <row r="18" spans="1:24"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row>
    <row r="19" spans="1:24"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row>
    <row r="20" spans="1:24"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row>
    <row r="21" spans="1:24"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row>
    <row r="22" spans="1:24"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row>
    <row r="23" spans="1:24"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row>
    <row r="24" spans="1:24"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row>
    <row r="29" spans="1:24"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row>
    <row r="30" spans="1:24"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row>
    <row r="31" spans="1:24"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row>
    <row r="32" spans="1:24"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row>
    <row r="33" spans="1:24"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BA5F2-A3AD-48FC-AD25-298B82D89952}">
  <dimension ref="A1:BF64"/>
  <sheetViews>
    <sheetView showGridLines="0" zoomScale="71" zoomScaleNormal="100" workbookViewId="0">
      <selection activeCell="I38" sqref="I38"/>
    </sheetView>
  </sheetViews>
  <sheetFormatPr defaultRowHeight="15" x14ac:dyDescent="0.25"/>
  <sheetData>
    <row r="1" spans="1:58" s="12" customFormat="1" ht="28.5" customHeight="1" x14ac:dyDescent="0.25">
      <c r="A1" s="32" t="s">
        <v>57</v>
      </c>
      <c r="B1" s="33"/>
      <c r="C1" s="33"/>
      <c r="D1" s="33"/>
      <c r="E1" s="33"/>
      <c r="F1" s="33"/>
      <c r="G1" s="33"/>
      <c r="H1" s="33"/>
      <c r="I1" s="33"/>
      <c r="J1" s="33"/>
      <c r="K1" s="33"/>
      <c r="L1" s="33"/>
      <c r="M1" s="33"/>
      <c r="N1" s="33"/>
      <c r="O1" s="33"/>
      <c r="P1" s="33"/>
      <c r="Q1" s="33"/>
      <c r="R1" s="33"/>
      <c r="S1" s="33"/>
      <c r="T1" s="33"/>
      <c r="U1" s="33"/>
      <c r="V1" s="33"/>
      <c r="W1" s="33"/>
      <c r="X1" s="33"/>
      <c r="Y1" s="34"/>
      <c r="Z1" s="32" t="s">
        <v>58</v>
      </c>
      <c r="AA1" s="33"/>
      <c r="AB1" s="33"/>
      <c r="AC1" s="33"/>
      <c r="AD1" s="33"/>
      <c r="AE1" s="33"/>
      <c r="AF1" s="33"/>
      <c r="AG1" s="33"/>
      <c r="AH1" s="33"/>
      <c r="AI1" s="33"/>
      <c r="AJ1" s="33"/>
      <c r="AK1" s="33"/>
      <c r="AL1" s="33"/>
      <c r="AM1" s="33"/>
      <c r="AN1" s="33"/>
      <c r="AO1" s="33"/>
      <c r="AP1" s="33"/>
      <c r="AQ1" s="33"/>
      <c r="AR1" s="33"/>
      <c r="AS1" s="33"/>
      <c r="AT1" s="33"/>
      <c r="AU1" s="33"/>
      <c r="AV1" s="33"/>
      <c r="AW1" s="33"/>
      <c r="AX1" s="34"/>
    </row>
    <row r="2" spans="1:58" ht="15" customHeight="1" thickBot="1" x14ac:dyDescent="0.3">
      <c r="A2" s="35"/>
      <c r="B2" s="36"/>
      <c r="C2" s="36"/>
      <c r="D2" s="36"/>
      <c r="E2" s="36"/>
      <c r="F2" s="36"/>
      <c r="G2" s="36"/>
      <c r="H2" s="36"/>
      <c r="I2" s="36"/>
      <c r="J2" s="36"/>
      <c r="K2" s="36"/>
      <c r="L2" s="36"/>
      <c r="M2" s="36"/>
      <c r="N2" s="36"/>
      <c r="O2" s="36"/>
      <c r="P2" s="36"/>
      <c r="Q2" s="36"/>
      <c r="R2" s="36"/>
      <c r="S2" s="36"/>
      <c r="T2" s="36"/>
      <c r="U2" s="36"/>
      <c r="V2" s="36"/>
      <c r="W2" s="36"/>
      <c r="X2" s="36"/>
      <c r="Y2" s="37"/>
      <c r="Z2" s="35"/>
      <c r="AA2" s="36"/>
      <c r="AB2" s="36"/>
      <c r="AC2" s="36"/>
      <c r="AD2" s="36"/>
      <c r="AE2" s="36"/>
      <c r="AF2" s="36"/>
      <c r="AG2" s="36"/>
      <c r="AH2" s="36"/>
      <c r="AI2" s="36"/>
      <c r="AJ2" s="36"/>
      <c r="AK2" s="36"/>
      <c r="AL2" s="36"/>
      <c r="AM2" s="36"/>
      <c r="AN2" s="36"/>
      <c r="AO2" s="36"/>
      <c r="AP2" s="36"/>
      <c r="AQ2" s="36"/>
      <c r="AR2" s="36"/>
      <c r="AS2" s="36"/>
      <c r="AT2" s="36"/>
      <c r="AU2" s="36"/>
      <c r="AV2" s="36"/>
      <c r="AW2" s="36"/>
      <c r="AX2" s="37"/>
    </row>
    <row r="3" spans="1:58"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row>
    <row r="4" spans="1:58"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row>
    <row r="5" spans="1:58"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row>
    <row r="6" spans="1:58"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row>
    <row r="7" spans="1:58"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row>
    <row r="8" spans="1:58"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row>
    <row r="9" spans="1:58"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row>
    <row r="10" spans="1:58"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row>
    <row r="11" spans="1:58"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row>
    <row r="12" spans="1:58"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row>
    <row r="13" spans="1:58"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row>
    <row r="14" spans="1:58"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row>
    <row r="15" spans="1:58"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row>
    <row r="16" spans="1:58"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row>
    <row r="17" spans="1:58"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row>
    <row r="18" spans="1:58"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row>
    <row r="19" spans="1:58"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row>
    <row r="20" spans="1:58"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row>
    <row r="21" spans="1:58"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row>
    <row r="22" spans="1:58"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row>
    <row r="23" spans="1:58"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row>
    <row r="24" spans="1:58"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row>
    <row r="25" spans="1:58"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row>
    <row r="26" spans="1:58"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row>
    <row r="27" spans="1:58"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row>
    <row r="28" spans="1:58"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row>
    <row r="29" spans="1:58"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row>
    <row r="30" spans="1:58"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row>
    <row r="31" spans="1:58"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row>
    <row r="32" spans="1:58"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row>
    <row r="33" spans="1:58"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row>
    <row r="34" spans="1:58"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row>
    <row r="35" spans="1:58"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row>
    <row r="36" spans="1:58"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row>
    <row r="37" spans="1:58"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row>
    <row r="38" spans="1:58"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row>
    <row r="39" spans="1:58"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row>
    <row r="40" spans="1:58"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row>
    <row r="41" spans="1:58"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row>
    <row r="42" spans="1:58"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row>
    <row r="43" spans="1:58"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row>
    <row r="44" spans="1:58"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row>
    <row r="45" spans="1:58"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row>
    <row r="46" spans="1:58"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row>
    <row r="47" spans="1:58"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row>
    <row r="48" spans="1:58"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row>
    <row r="49" spans="1:58"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row>
    <row r="50" spans="1:58"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row>
    <row r="51" spans="1:58"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row>
    <row r="52" spans="1:58"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row>
    <row r="53" spans="1:58"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row>
    <row r="54" spans="1:58"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row>
    <row r="55" spans="1:58"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row>
    <row r="56" spans="1:58"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row>
    <row r="57" spans="1:58"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row>
    <row r="58" spans="1:58"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spans="1:58"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spans="1:58"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spans="1:58"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spans="1:58" x14ac:dyDescent="0.25">
      <c r="A62" s="13"/>
      <c r="B62" s="13"/>
      <c r="C62" s="13"/>
      <c r="D62" s="13"/>
      <c r="E62" s="13"/>
      <c r="F62" s="13"/>
      <c r="G62" s="13"/>
      <c r="H62" s="13"/>
      <c r="I62" s="13"/>
      <c r="J62" s="13"/>
      <c r="K62" s="13"/>
      <c r="L62" s="13"/>
      <c r="M62" s="13"/>
      <c r="N62" s="13"/>
      <c r="O62" s="13"/>
      <c r="P62" s="13"/>
      <c r="Q62" s="13"/>
      <c r="R62" s="13"/>
      <c r="S62" s="13"/>
    </row>
    <row r="63" spans="1:58" x14ac:dyDescent="0.25">
      <c r="A63" s="13"/>
      <c r="B63" s="13"/>
      <c r="C63" s="13"/>
      <c r="D63" s="13"/>
      <c r="E63" s="13"/>
      <c r="F63" s="13"/>
      <c r="G63" s="13"/>
      <c r="H63" s="13"/>
      <c r="I63" s="13"/>
      <c r="J63" s="13"/>
      <c r="K63" s="13"/>
      <c r="L63" s="13"/>
      <c r="M63" s="13"/>
      <c r="N63" s="13"/>
      <c r="O63" s="13"/>
      <c r="P63" s="13"/>
      <c r="Q63" s="13"/>
      <c r="R63" s="13"/>
      <c r="S63" s="13"/>
    </row>
    <row r="64" spans="1:58" x14ac:dyDescent="0.25">
      <c r="A64" s="13"/>
      <c r="B64" s="13"/>
      <c r="C64" s="13"/>
      <c r="D64" s="13"/>
      <c r="E64" s="13"/>
      <c r="F64" s="13"/>
      <c r="G64" s="13"/>
      <c r="H64" s="13"/>
      <c r="I64" s="13"/>
      <c r="J64" s="13"/>
      <c r="K64" s="13"/>
      <c r="L64" s="13"/>
      <c r="M64" s="13"/>
      <c r="N64" s="13"/>
      <c r="O64" s="13"/>
      <c r="P64" s="13"/>
      <c r="Q64" s="13"/>
      <c r="R64" s="13"/>
      <c r="S64" s="13"/>
    </row>
  </sheetData>
  <mergeCells count="2">
    <mergeCell ref="A1:Y2"/>
    <mergeCell ref="Z1:AX2"/>
  </mergeCells>
  <phoneticPr fontId="1"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Sales Vs Orders</vt:lpstr>
      <vt:lpstr>Men Vs Women </vt:lpstr>
      <vt:lpstr>Order Status</vt:lpstr>
      <vt:lpstr>Top 5 states sales</vt:lpstr>
      <vt:lpstr>Age Vs Gender</vt:lpstr>
      <vt:lpstr>Channels</vt:lpstr>
      <vt:lpstr>Vrinda Store Report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itsmeakki001100@gmail.com</dc:creator>
  <cp:lastModifiedBy>itsmeakki001100@gmail.com</cp:lastModifiedBy>
  <dcterms:created xsi:type="dcterms:W3CDTF">2026-07-07T04:47:55Z</dcterms:created>
  <dcterms:modified xsi:type="dcterms:W3CDTF">2026-08-17T14:55:00Z</dcterms:modified>
</cp:coreProperties>
</file>